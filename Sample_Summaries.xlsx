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path/to/repo/"/>
    </mc:Choice>
  </mc:AlternateContent>
  <xr:revisionPtr revIDLastSave="0" documentId="13_ncr:1_{32901E87-A27D-4B3D-AF99-F6893EA85D7A}" xr6:coauthVersionLast="47" xr6:coauthVersionMax="47" xr10:uidLastSave="{00000000-0000-0000-0000-000000000000}"/>
  <bookViews>
    <workbookView xWindow="-108" yWindow="-108" windowWidth="41496" windowHeight="16776" firstSheet="3" activeTab="11" xr2:uid="{00000000-000D-0000-FFFF-FFFF00000000}"/>
  </bookViews>
  <sheets>
    <sheet name="RR_W1.1_CAWI" sheetId="1" r:id="rId1"/>
    <sheet name="RR_W1.1_PAPI" sheetId="2" r:id="rId2"/>
    <sheet name="RR_W1.2_PAPI" sheetId="6" r:id="rId3"/>
    <sheet name="GlobalProp" sheetId="10" r:id="rId4"/>
    <sheet name="Omegas" sheetId="9" r:id="rId5"/>
    <sheet name="MultinomSocDem" sheetId="11" r:id="rId6"/>
    <sheet name="RR_W1.2_CAWI" sheetId="5" r:id="rId7"/>
    <sheet name="RR_W2_CAWI" sheetId="7" r:id="rId8"/>
    <sheet name="RR_W2_PAPI" sheetId="8" r:id="rId9"/>
    <sheet name="RR_W1.1_SENSAN_CAWI" sheetId="3" r:id="rId10"/>
    <sheet name="RR_W1.1_SENSAN_PAPI" sheetId="4" r:id="rId11"/>
    <sheet name="MultinomSocDem_SA" sheetId="13" r:id="rId12"/>
    <sheet name="Omegas_SA" sheetId="14" r:id="rId13"/>
    <sheet name="GlobalProp_SA" sheetId="15" r:id="rId14"/>
  </sheets>
  <definedNames>
    <definedName name="_xlnm._FilterDatabase" localSheetId="3" hidden="1">GlobalProp!$A$1:$D$19</definedName>
    <definedName name="_xlnm._FilterDatabase" localSheetId="5" hidden="1">MultinomSocDem!$N$1:$N$289</definedName>
    <definedName name="_xlnm._FilterDatabase" localSheetId="11" hidden="1">MultinomSocDem_SA!$N$1:$N$103</definedName>
    <definedName name="_xlnm._FilterDatabase" localSheetId="4" hidden="1">Omegas!$A$1:$E$145</definedName>
    <definedName name="_xlnm._FilterDatabase" localSheetId="12" hidden="1">Omegas_SA!$A$1:$E$91</definedName>
    <definedName name="_xlnm._FilterDatabase" localSheetId="8" hidden="1">RR_W2_PAPI!$A$3:$W$9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9" i="11" l="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K103" i="13"/>
  <c r="L103" i="13" s="1"/>
  <c r="K102" i="13"/>
  <c r="L102" i="13" s="1"/>
  <c r="K101" i="13"/>
  <c r="L101" i="13" s="1"/>
  <c r="K100" i="13"/>
  <c r="L100" i="13" s="1"/>
  <c r="K99" i="13"/>
  <c r="L99" i="13" s="1"/>
  <c r="K98" i="13"/>
  <c r="L98" i="13" s="1"/>
  <c r="K97" i="13"/>
  <c r="L97" i="13" s="1"/>
  <c r="K96" i="13"/>
  <c r="L96" i="13" s="1"/>
  <c r="K95" i="13"/>
  <c r="L95" i="13" s="1"/>
  <c r="K94" i="13"/>
  <c r="L94" i="13" s="1"/>
  <c r="K93" i="13"/>
  <c r="L93" i="13" s="1"/>
  <c r="K92" i="13"/>
  <c r="L92" i="13" s="1"/>
  <c r="K91" i="13"/>
  <c r="L91" i="13" s="1"/>
  <c r="K90" i="13"/>
  <c r="L90" i="13" s="1"/>
  <c r="K89" i="13"/>
  <c r="L89" i="13" s="1"/>
  <c r="K88" i="13"/>
  <c r="L88" i="13" s="1"/>
  <c r="K87" i="13"/>
  <c r="L87" i="13" s="1"/>
  <c r="K86" i="13"/>
  <c r="L86" i="13" s="1"/>
  <c r="K85" i="13"/>
  <c r="L85" i="13" s="1"/>
  <c r="K84" i="13"/>
  <c r="L84" i="13" s="1"/>
  <c r="K83" i="13"/>
  <c r="L83" i="13" s="1"/>
  <c r="K82" i="13"/>
  <c r="L82" i="13" s="1"/>
  <c r="K81" i="13"/>
  <c r="L81" i="13" s="1"/>
  <c r="K80" i="13"/>
  <c r="L80" i="13" s="1"/>
  <c r="K79" i="13"/>
  <c r="L79" i="13" s="1"/>
  <c r="K78" i="13"/>
  <c r="L78" i="13" s="1"/>
  <c r="K77" i="13"/>
  <c r="L77" i="13" s="1"/>
  <c r="K76" i="13"/>
  <c r="L76" i="13" s="1"/>
  <c r="K75" i="13"/>
  <c r="L75" i="13" s="1"/>
  <c r="K74" i="13"/>
  <c r="L74" i="13" s="1"/>
  <c r="K73" i="13"/>
  <c r="L73" i="13" s="1"/>
  <c r="K72" i="13"/>
  <c r="L72" i="13" s="1"/>
  <c r="K71" i="13"/>
  <c r="L71" i="13" s="1"/>
  <c r="K70" i="13"/>
  <c r="L70" i="13" s="1"/>
  <c r="K69" i="13"/>
  <c r="L69" i="13" s="1"/>
  <c r="K68" i="13"/>
  <c r="L68" i="13" s="1"/>
  <c r="K67" i="13"/>
  <c r="L67" i="13" s="1"/>
  <c r="K66" i="13"/>
  <c r="L66" i="13" s="1"/>
  <c r="K65" i="13"/>
  <c r="L65" i="13" s="1"/>
  <c r="K64" i="13"/>
  <c r="L64" i="13" s="1"/>
  <c r="K63" i="13"/>
  <c r="L63" i="13" s="1"/>
  <c r="K62" i="13"/>
  <c r="L62" i="13" s="1"/>
  <c r="K61" i="13"/>
  <c r="L61" i="13" s="1"/>
  <c r="K60" i="13"/>
  <c r="L60" i="13" s="1"/>
  <c r="K59" i="13"/>
  <c r="L59" i="13" s="1"/>
  <c r="K58" i="13"/>
  <c r="L58" i="13" s="1"/>
  <c r="K57" i="13"/>
  <c r="L57" i="13" s="1"/>
  <c r="K56" i="13"/>
  <c r="L56" i="13" s="1"/>
  <c r="K55" i="13"/>
  <c r="L55" i="13" s="1"/>
  <c r="K54" i="13"/>
  <c r="L54" i="13" s="1"/>
  <c r="K53" i="13"/>
  <c r="L53" i="13" s="1"/>
  <c r="K52" i="13"/>
  <c r="L52" i="13" s="1"/>
  <c r="K51" i="13"/>
  <c r="L51" i="13" s="1"/>
  <c r="K50" i="13"/>
  <c r="L50" i="13" s="1"/>
  <c r="K49" i="13"/>
  <c r="L49" i="13" s="1"/>
  <c r="K48" i="13"/>
  <c r="L48" i="13" s="1"/>
  <c r="K47" i="13"/>
  <c r="L47" i="13" s="1"/>
  <c r="K46" i="13"/>
  <c r="L46" i="13" s="1"/>
  <c r="K45" i="13"/>
  <c r="L45" i="13" s="1"/>
  <c r="K44" i="13"/>
  <c r="L44" i="13" s="1"/>
  <c r="K43" i="13"/>
  <c r="L43" i="13" s="1"/>
  <c r="K42" i="13"/>
  <c r="L42" i="13" s="1"/>
  <c r="K41" i="13"/>
  <c r="L41" i="13" s="1"/>
  <c r="K40" i="13"/>
  <c r="L40" i="13" s="1"/>
  <c r="K39" i="13"/>
  <c r="L39" i="13" s="1"/>
  <c r="K38" i="13"/>
  <c r="L38" i="13" s="1"/>
  <c r="K37" i="13"/>
  <c r="L37" i="13" s="1"/>
  <c r="K36" i="13"/>
  <c r="L36" i="13" s="1"/>
  <c r="K35" i="13"/>
  <c r="L35" i="13" s="1"/>
  <c r="K34" i="13"/>
  <c r="L34" i="13" s="1"/>
  <c r="K33" i="13"/>
  <c r="L33" i="13" s="1"/>
  <c r="K32" i="13"/>
  <c r="L32" i="13" s="1"/>
  <c r="K31" i="13"/>
  <c r="L31" i="13" s="1"/>
  <c r="K30" i="13"/>
  <c r="L30" i="13" s="1"/>
  <c r="K29" i="13"/>
  <c r="L29" i="13" s="1"/>
  <c r="K28" i="13"/>
  <c r="L28" i="13" s="1"/>
  <c r="K27" i="13"/>
  <c r="L27" i="13" s="1"/>
  <c r="K26" i="13"/>
  <c r="L26" i="13" s="1"/>
  <c r="K25" i="13"/>
  <c r="L25" i="13" s="1"/>
  <c r="K24" i="13"/>
  <c r="L24" i="13" s="1"/>
  <c r="K23" i="13"/>
  <c r="L23" i="13" s="1"/>
  <c r="K22" i="13"/>
  <c r="L22" i="13" s="1"/>
  <c r="K21" i="13"/>
  <c r="L21" i="13" s="1"/>
  <c r="K20" i="13"/>
  <c r="L20" i="13" s="1"/>
  <c r="K19" i="13"/>
  <c r="L19" i="13" s="1"/>
  <c r="K18" i="13"/>
  <c r="L18" i="13" s="1"/>
  <c r="K17" i="13"/>
  <c r="L17" i="13" s="1"/>
  <c r="K16" i="13"/>
  <c r="L16" i="13" s="1"/>
  <c r="K15" i="13"/>
  <c r="L15" i="13" s="1"/>
  <c r="K14" i="13"/>
  <c r="L14" i="13" s="1"/>
  <c r="K13" i="13"/>
  <c r="L13" i="13" s="1"/>
  <c r="K12" i="13"/>
  <c r="L12" i="13" s="1"/>
  <c r="K11" i="13"/>
  <c r="L11" i="13" s="1"/>
  <c r="K10" i="13"/>
  <c r="L10" i="13" s="1"/>
  <c r="K9" i="13"/>
  <c r="L9" i="13" s="1"/>
  <c r="K8" i="13"/>
  <c r="L8" i="13" s="1"/>
  <c r="K7" i="13"/>
  <c r="L7" i="13" s="1"/>
  <c r="K6" i="13"/>
  <c r="L6" i="13" s="1"/>
  <c r="K5" i="13"/>
  <c r="L5" i="13" s="1"/>
  <c r="K4" i="13"/>
  <c r="L4" i="13" s="1"/>
  <c r="K3" i="13"/>
  <c r="L3" i="13" s="1"/>
  <c r="I103" i="13"/>
  <c r="J103" i="13" s="1"/>
  <c r="I102" i="13"/>
  <c r="J102" i="13" s="1"/>
  <c r="I101" i="13"/>
  <c r="J101" i="13" s="1"/>
  <c r="I100" i="13"/>
  <c r="J100" i="13" s="1"/>
  <c r="I99" i="13"/>
  <c r="J99" i="13" s="1"/>
  <c r="I98" i="13"/>
  <c r="J98" i="13" s="1"/>
  <c r="I97" i="13"/>
  <c r="J97" i="13" s="1"/>
  <c r="I96" i="13"/>
  <c r="J96" i="13" s="1"/>
  <c r="I95" i="13"/>
  <c r="J95" i="13" s="1"/>
  <c r="I94" i="13"/>
  <c r="J94" i="13" s="1"/>
  <c r="I93" i="13"/>
  <c r="J93" i="13" s="1"/>
  <c r="I92" i="13"/>
  <c r="J92" i="13" s="1"/>
  <c r="I91" i="13"/>
  <c r="J91" i="13" s="1"/>
  <c r="I90" i="13"/>
  <c r="J90" i="13" s="1"/>
  <c r="I89" i="13"/>
  <c r="J89" i="13" s="1"/>
  <c r="I88" i="13"/>
  <c r="J88" i="13" s="1"/>
  <c r="I87" i="13"/>
  <c r="J87" i="13" s="1"/>
  <c r="I86" i="13"/>
  <c r="J86" i="13" s="1"/>
  <c r="I85" i="13"/>
  <c r="J85" i="13" s="1"/>
  <c r="I84" i="13"/>
  <c r="J84" i="13" s="1"/>
  <c r="I83" i="13"/>
  <c r="J83" i="13" s="1"/>
  <c r="I82" i="13"/>
  <c r="J82" i="13" s="1"/>
  <c r="I81" i="13"/>
  <c r="J81" i="13" s="1"/>
  <c r="I80" i="13"/>
  <c r="J80" i="13" s="1"/>
  <c r="I79" i="13"/>
  <c r="J79" i="13" s="1"/>
  <c r="I78" i="13"/>
  <c r="J78" i="13" s="1"/>
  <c r="I77" i="13"/>
  <c r="J77" i="13" s="1"/>
  <c r="I76" i="13"/>
  <c r="J76" i="13" s="1"/>
  <c r="I75" i="13"/>
  <c r="J75" i="13" s="1"/>
  <c r="I74" i="13"/>
  <c r="J74" i="13" s="1"/>
  <c r="I73" i="13"/>
  <c r="J73" i="13" s="1"/>
  <c r="I72" i="13"/>
  <c r="J72" i="13" s="1"/>
  <c r="I71" i="13"/>
  <c r="J71" i="13" s="1"/>
  <c r="I70" i="13"/>
  <c r="J70" i="13" s="1"/>
  <c r="I69" i="13"/>
  <c r="J69" i="13" s="1"/>
  <c r="I68" i="13"/>
  <c r="J68" i="13" s="1"/>
  <c r="I67" i="13"/>
  <c r="J67" i="13" s="1"/>
  <c r="I66" i="13"/>
  <c r="J66" i="13" s="1"/>
  <c r="I65" i="13"/>
  <c r="J65" i="13" s="1"/>
  <c r="I64" i="13"/>
  <c r="J64" i="13" s="1"/>
  <c r="I63" i="13"/>
  <c r="J63" i="13" s="1"/>
  <c r="I62" i="13"/>
  <c r="J62" i="13" s="1"/>
  <c r="I61" i="13"/>
  <c r="J61" i="13" s="1"/>
  <c r="I60" i="13"/>
  <c r="J60" i="13" s="1"/>
  <c r="I59" i="13"/>
  <c r="J59" i="13" s="1"/>
  <c r="I58" i="13"/>
  <c r="J58" i="13" s="1"/>
  <c r="I57" i="13"/>
  <c r="J57" i="13" s="1"/>
  <c r="I56" i="13"/>
  <c r="J56" i="13" s="1"/>
  <c r="I55" i="13"/>
  <c r="J55" i="13" s="1"/>
  <c r="I54" i="13"/>
  <c r="J54" i="13" s="1"/>
  <c r="I53" i="13"/>
  <c r="J53" i="13" s="1"/>
  <c r="I52" i="13"/>
  <c r="J52" i="13" s="1"/>
  <c r="I51" i="13"/>
  <c r="J51" i="13" s="1"/>
  <c r="I50" i="13"/>
  <c r="J50" i="13" s="1"/>
  <c r="I49" i="13"/>
  <c r="J49" i="13" s="1"/>
  <c r="I48" i="13"/>
  <c r="J48" i="13" s="1"/>
  <c r="I47" i="13"/>
  <c r="J47" i="13" s="1"/>
  <c r="I46" i="13"/>
  <c r="J46" i="13" s="1"/>
  <c r="I45" i="13"/>
  <c r="J45" i="13" s="1"/>
  <c r="I44" i="13"/>
  <c r="J44" i="13" s="1"/>
  <c r="I43" i="13"/>
  <c r="J43" i="13" s="1"/>
  <c r="I42" i="13"/>
  <c r="J42" i="13" s="1"/>
  <c r="I41" i="13"/>
  <c r="J41" i="13" s="1"/>
  <c r="I40" i="13"/>
  <c r="J40" i="13" s="1"/>
  <c r="I39" i="13"/>
  <c r="J39" i="13" s="1"/>
  <c r="I38" i="13"/>
  <c r="J38" i="13" s="1"/>
  <c r="I37" i="13"/>
  <c r="J37" i="13" s="1"/>
  <c r="I36" i="13"/>
  <c r="J36" i="13" s="1"/>
  <c r="I35" i="13"/>
  <c r="J35" i="13" s="1"/>
  <c r="I34" i="13"/>
  <c r="J34" i="13" s="1"/>
  <c r="I33" i="13"/>
  <c r="J33" i="13" s="1"/>
  <c r="I32" i="13"/>
  <c r="J32" i="13" s="1"/>
  <c r="I31" i="13"/>
  <c r="J31" i="13" s="1"/>
  <c r="I30" i="13"/>
  <c r="J30" i="13" s="1"/>
  <c r="I29" i="13"/>
  <c r="J29" i="13" s="1"/>
  <c r="I28" i="13"/>
  <c r="J28" i="13" s="1"/>
  <c r="I27" i="13"/>
  <c r="J27" i="13" s="1"/>
  <c r="I26" i="13"/>
  <c r="J26" i="13" s="1"/>
  <c r="I25" i="13"/>
  <c r="J25" i="13" s="1"/>
  <c r="I24" i="13"/>
  <c r="J24" i="13" s="1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X6" i="2"/>
  <c r="X7" i="2"/>
  <c r="H107" i="6"/>
  <c r="H108" i="2"/>
  <c r="H108" i="1"/>
  <c r="H106" i="1"/>
  <c r="H107" i="5"/>
  <c r="H108" i="5"/>
  <c r="H106" i="5"/>
  <c r="C110" i="5"/>
  <c r="Q19" i="4"/>
  <c r="Q20" i="4"/>
  <c r="C112" i="3"/>
  <c r="C112" i="4"/>
  <c r="C110" i="4"/>
  <c r="F108" i="4"/>
  <c r="E108" i="4"/>
  <c r="D108" i="4"/>
  <c r="F107" i="4"/>
  <c r="E107" i="4"/>
  <c r="D107" i="4"/>
  <c r="L106" i="4"/>
  <c r="H107" i="4" s="1"/>
  <c r="G106" i="4"/>
  <c r="F106" i="4"/>
  <c r="E106" i="4"/>
  <c r="D106" i="4"/>
  <c r="U23" i="4"/>
  <c r="U22" i="4"/>
  <c r="U21" i="4"/>
  <c r="P17" i="3"/>
  <c r="P17" i="4"/>
  <c r="P18" i="4"/>
  <c r="P19" i="4"/>
  <c r="P20" i="4"/>
  <c r="P21" i="4"/>
  <c r="P22" i="4"/>
  <c r="P23" i="4"/>
  <c r="P24" i="4"/>
  <c r="P25" i="4"/>
  <c r="Q21" i="3"/>
  <c r="P21" i="3"/>
  <c r="P19" i="3"/>
  <c r="Q20" i="3"/>
  <c r="L106" i="3"/>
  <c r="H108" i="3" s="1"/>
  <c r="T24" i="3"/>
  <c r="T23" i="3"/>
  <c r="T22" i="3"/>
  <c r="F108" i="3"/>
  <c r="E108" i="3"/>
  <c r="D108" i="3"/>
  <c r="G108" i="3" s="1"/>
  <c r="F107" i="3"/>
  <c r="E107" i="3"/>
  <c r="D107" i="3"/>
  <c r="F106" i="3"/>
  <c r="E106" i="3"/>
  <c r="D106" i="3"/>
  <c r="P22" i="3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8" i="13"/>
  <c r="J8" i="13" s="1"/>
  <c r="I7" i="13"/>
  <c r="J7" i="13" s="1"/>
  <c r="I6" i="13"/>
  <c r="J6" i="13" s="1"/>
  <c r="I5" i="13"/>
  <c r="J5" i="13" s="1"/>
  <c r="I4" i="13"/>
  <c r="J4" i="13" s="1"/>
  <c r="I3" i="13"/>
  <c r="J3" i="13" s="1"/>
  <c r="K2" i="13"/>
  <c r="L2" i="13" s="1"/>
  <c r="I2" i="13"/>
  <c r="J2" i="13" s="1"/>
  <c r="H2" i="13"/>
  <c r="C110" i="8"/>
  <c r="C112" i="8"/>
  <c r="C169" i="7"/>
  <c r="C148" i="7"/>
  <c r="C111" i="8"/>
  <c r="L106" i="8"/>
  <c r="F108" i="8"/>
  <c r="G108" i="8" s="1"/>
  <c r="E108" i="8"/>
  <c r="D108" i="8"/>
  <c r="F107" i="8"/>
  <c r="E107" i="8"/>
  <c r="D107" i="8"/>
  <c r="H107" i="8"/>
  <c r="H106" i="8"/>
  <c r="G106" i="8"/>
  <c r="F106" i="8"/>
  <c r="E106" i="8"/>
  <c r="D106" i="8"/>
  <c r="G20" i="8"/>
  <c r="G19" i="8"/>
  <c r="G18" i="8"/>
  <c r="C170" i="7"/>
  <c r="C168" i="7"/>
  <c r="C167" i="7"/>
  <c r="H166" i="7"/>
  <c r="H165" i="7"/>
  <c r="H164" i="7"/>
  <c r="H163" i="7"/>
  <c r="G166" i="7"/>
  <c r="G163" i="7"/>
  <c r="F166" i="7"/>
  <c r="F165" i="7"/>
  <c r="F164" i="7"/>
  <c r="F163" i="7"/>
  <c r="E166" i="7"/>
  <c r="E165" i="7"/>
  <c r="E164" i="7"/>
  <c r="E163" i="7"/>
  <c r="D166" i="7"/>
  <c r="D165" i="7"/>
  <c r="D164" i="7"/>
  <c r="D163" i="7"/>
  <c r="G165" i="7"/>
  <c r="L163" i="7"/>
  <c r="G21" i="7"/>
  <c r="G20" i="7"/>
  <c r="G19" i="7"/>
  <c r="G18" i="7"/>
  <c r="H144" i="7"/>
  <c r="H143" i="7"/>
  <c r="G97" i="7"/>
  <c r="G96" i="7"/>
  <c r="G95" i="7"/>
  <c r="L143" i="7"/>
  <c r="H145" i="7" s="1"/>
  <c r="F145" i="7"/>
  <c r="E145" i="7"/>
  <c r="D145" i="7"/>
  <c r="F144" i="7"/>
  <c r="E144" i="7"/>
  <c r="D144" i="7"/>
  <c r="F143" i="7"/>
  <c r="E143" i="7"/>
  <c r="D143" i="7"/>
  <c r="C112" i="5"/>
  <c r="G22" i="5"/>
  <c r="G21" i="5"/>
  <c r="G20" i="5"/>
  <c r="F108" i="5"/>
  <c r="E108" i="5"/>
  <c r="D108" i="5"/>
  <c r="F107" i="5"/>
  <c r="E107" i="5"/>
  <c r="D107" i="5"/>
  <c r="L106" i="5"/>
  <c r="F106" i="5"/>
  <c r="G106" i="5" s="1"/>
  <c r="E106" i="5"/>
  <c r="D106" i="5"/>
  <c r="L106" i="6"/>
  <c r="F108" i="6"/>
  <c r="E108" i="6"/>
  <c r="D108" i="6"/>
  <c r="F107" i="6"/>
  <c r="E107" i="6"/>
  <c r="D107" i="6"/>
  <c r="H106" i="6"/>
  <c r="F106" i="6"/>
  <c r="G106" i="6" s="1"/>
  <c r="E106" i="6"/>
  <c r="D106" i="6"/>
  <c r="G107" i="2"/>
  <c r="F108" i="2"/>
  <c r="G108" i="2" s="1"/>
  <c r="E108" i="2"/>
  <c r="D108" i="2"/>
  <c r="F107" i="2"/>
  <c r="E107" i="2"/>
  <c r="D107" i="2"/>
  <c r="L106" i="2"/>
  <c r="H107" i="2" s="1"/>
  <c r="H106" i="2"/>
  <c r="F106" i="2"/>
  <c r="E106" i="2"/>
  <c r="D106" i="2"/>
  <c r="F108" i="1"/>
  <c r="E108" i="1"/>
  <c r="D108" i="1"/>
  <c r="F107" i="1"/>
  <c r="E107" i="1"/>
  <c r="D107" i="1"/>
  <c r="L106" i="1"/>
  <c r="F106" i="1"/>
  <c r="E106" i="1"/>
  <c r="D106" i="1"/>
  <c r="G20" i="6"/>
  <c r="G19" i="6"/>
  <c r="G18" i="6"/>
  <c r="H25" i="2"/>
  <c r="H24" i="2"/>
  <c r="H23" i="2"/>
  <c r="G107" i="4" l="1"/>
  <c r="G108" i="4"/>
  <c r="C111" i="4"/>
  <c r="H106" i="4"/>
  <c r="H108" i="4"/>
  <c r="H107" i="3"/>
  <c r="C111" i="3" s="1"/>
  <c r="H106" i="3"/>
  <c r="C110" i="3" s="1"/>
  <c r="G106" i="3"/>
  <c r="G107" i="3"/>
  <c r="H108" i="8"/>
  <c r="G107" i="8"/>
  <c r="C149" i="7"/>
  <c r="G143" i="7"/>
  <c r="C147" i="7" s="1"/>
  <c r="G164" i="7"/>
  <c r="G144" i="7"/>
  <c r="G145" i="7"/>
  <c r="G107" i="5"/>
  <c r="C111" i="5"/>
  <c r="G108" i="5"/>
  <c r="C110" i="6"/>
  <c r="G107" i="6"/>
  <c r="G108" i="6"/>
  <c r="C111" i="6"/>
  <c r="H108" i="6"/>
  <c r="C112" i="6" s="1"/>
  <c r="G106" i="2"/>
  <c r="C110" i="2"/>
  <c r="C111" i="2"/>
  <c r="C112" i="2"/>
  <c r="C110" i="1"/>
  <c r="H107" i="1"/>
  <c r="G107" i="1"/>
  <c r="C111" i="1" s="1"/>
  <c r="G106" i="1"/>
  <c r="G108" i="1"/>
  <c r="C112" i="1"/>
  <c r="K28" i="1" l="1"/>
  <c r="K27" i="1"/>
  <c r="K26" i="1"/>
  <c r="Q11" i="7"/>
  <c r="Q12" i="7"/>
  <c r="Q13" i="7"/>
  <c r="Q14" i="7"/>
  <c r="Q10" i="7"/>
  <c r="N20" i="5"/>
  <c r="N19" i="5"/>
  <c r="N18" i="5"/>
  <c r="N17" i="5"/>
  <c r="N16" i="5"/>
  <c r="J11" i="8"/>
  <c r="I11" i="8"/>
  <c r="H11" i="8"/>
  <c r="J11" i="6"/>
  <c r="I11" i="6"/>
  <c r="H11" i="6"/>
  <c r="J11" i="7"/>
  <c r="I11" i="7"/>
  <c r="H11" i="7"/>
  <c r="J11" i="5"/>
  <c r="I11" i="5"/>
  <c r="H11" i="5"/>
  <c r="J11" i="2"/>
  <c r="I11" i="2"/>
  <c r="H11" i="2"/>
  <c r="J11" i="1"/>
  <c r="H11" i="1"/>
  <c r="I11" i="1"/>
  <c r="J15" i="3"/>
  <c r="I15" i="3"/>
  <c r="H15" i="3"/>
  <c r="J15" i="4"/>
  <c r="I15" i="4"/>
  <c r="H15" i="4"/>
  <c r="Q21" i="4"/>
  <c r="Q25" i="4"/>
  <c r="Q24" i="4"/>
  <c r="Q23" i="4"/>
  <c r="Q22" i="4"/>
  <c r="Q18" i="4"/>
  <c r="Q17" i="4"/>
  <c r="Q25" i="3"/>
  <c r="Q24" i="3"/>
  <c r="Q23" i="3"/>
  <c r="Q22" i="3"/>
  <c r="P25" i="3"/>
  <c r="P24" i="3"/>
  <c r="P23" i="3"/>
  <c r="P20" i="3"/>
  <c r="Q19" i="3"/>
  <c r="Q18" i="3"/>
  <c r="P18" i="3"/>
  <c r="Q17" i="3"/>
  <c r="Q20" i="8"/>
  <c r="P17" i="8"/>
  <c r="P20" i="8"/>
  <c r="Q19" i="8"/>
  <c r="P19" i="8"/>
  <c r="Q18" i="8"/>
  <c r="P18" i="8"/>
  <c r="Q17" i="8"/>
  <c r="Q16" i="8"/>
  <c r="P16" i="8"/>
  <c r="Q20" i="7"/>
  <c r="P20" i="7"/>
  <c r="Q19" i="7"/>
  <c r="P19" i="7"/>
  <c r="Q18" i="7"/>
  <c r="P18" i="7"/>
  <c r="Q17" i="7"/>
  <c r="P17" i="7"/>
  <c r="Q16" i="7"/>
  <c r="P16" i="7"/>
  <c r="Q19" i="6"/>
  <c r="Q20" i="6"/>
  <c r="P20" i="6"/>
  <c r="P19" i="6"/>
  <c r="Q18" i="6"/>
  <c r="P18" i="6"/>
  <c r="Q17" i="6"/>
  <c r="P17" i="6"/>
  <c r="Q16" i="6"/>
  <c r="P16" i="6"/>
  <c r="P17" i="1"/>
  <c r="Q19" i="1"/>
  <c r="Q20" i="1"/>
  <c r="P20" i="1"/>
  <c r="P19" i="1"/>
  <c r="Q18" i="1"/>
  <c r="P18" i="1"/>
  <c r="Q17" i="1"/>
  <c r="Q16" i="1"/>
  <c r="P16" i="1"/>
  <c r="Q19" i="5"/>
  <c r="P19" i="5"/>
  <c r="Q16" i="5"/>
  <c r="P16" i="5"/>
  <c r="Q20" i="5"/>
  <c r="P20" i="5"/>
  <c r="Q18" i="5"/>
  <c r="P18" i="5"/>
  <c r="Q17" i="5"/>
  <c r="P17" i="5"/>
  <c r="Q20" i="2"/>
  <c r="P20" i="2"/>
  <c r="Q19" i="2"/>
  <c r="P19" i="2"/>
  <c r="P18" i="2"/>
  <c r="Q18" i="2"/>
  <c r="Q17" i="2"/>
  <c r="P17" i="2"/>
  <c r="Q16" i="2"/>
  <c r="P16" i="2"/>
  <c r="L12" i="8"/>
  <c r="J13" i="7"/>
  <c r="I12" i="6"/>
  <c r="K13" i="5"/>
  <c r="F12" i="2"/>
  <c r="D14" i="1"/>
  <c r="I288" i="11" l="1"/>
  <c r="J288" i="11" s="1"/>
  <c r="I287" i="11"/>
  <c r="J287" i="11" s="1"/>
  <c r="I286" i="11"/>
  <c r="J286" i="11" s="1"/>
  <c r="I285" i="11"/>
  <c r="J285" i="11" s="1"/>
  <c r="I284" i="11"/>
  <c r="J284" i="11" s="1"/>
  <c r="I283" i="11"/>
  <c r="J283" i="11" s="1"/>
  <c r="I282" i="11"/>
  <c r="J282" i="11" s="1"/>
  <c r="I281" i="11"/>
  <c r="J281" i="11" s="1"/>
  <c r="I280" i="11"/>
  <c r="J280" i="11" s="1"/>
  <c r="I279" i="11"/>
  <c r="J279" i="11" s="1"/>
  <c r="I278" i="11"/>
  <c r="J278" i="11" s="1"/>
  <c r="I277" i="11"/>
  <c r="J277" i="11" s="1"/>
  <c r="I276" i="11"/>
  <c r="J276" i="11" s="1"/>
  <c r="I275" i="11"/>
  <c r="J275" i="11" s="1"/>
  <c r="I274" i="11"/>
  <c r="J274" i="11" s="1"/>
  <c r="I273" i="11"/>
  <c r="J273" i="11" s="1"/>
  <c r="I272" i="11"/>
  <c r="J272" i="11" s="1"/>
  <c r="I271" i="11"/>
  <c r="J271" i="11" s="1"/>
  <c r="I270" i="11"/>
  <c r="J270" i="11" s="1"/>
  <c r="I269" i="11"/>
  <c r="J269" i="11" s="1"/>
  <c r="I268" i="11"/>
  <c r="J268" i="11" s="1"/>
  <c r="I267" i="11"/>
  <c r="J267" i="11" s="1"/>
  <c r="I266" i="11"/>
  <c r="J266" i="11" s="1"/>
  <c r="I265" i="11"/>
  <c r="J265" i="11" s="1"/>
  <c r="I264" i="11"/>
  <c r="J264" i="11" s="1"/>
  <c r="I263" i="11"/>
  <c r="J263" i="11" s="1"/>
  <c r="I262" i="11"/>
  <c r="J262" i="11" s="1"/>
  <c r="I261" i="11"/>
  <c r="J261" i="11" s="1"/>
  <c r="I260" i="11"/>
  <c r="J260" i="11" s="1"/>
  <c r="I259" i="11"/>
  <c r="J259" i="11" s="1"/>
  <c r="I258" i="11"/>
  <c r="J258" i="11" s="1"/>
  <c r="I257" i="11"/>
  <c r="J257" i="11" s="1"/>
  <c r="I256" i="11"/>
  <c r="J256" i="11" s="1"/>
  <c r="I255" i="11"/>
  <c r="J255" i="11" s="1"/>
  <c r="I254" i="11"/>
  <c r="J254" i="11" s="1"/>
  <c r="I253" i="11"/>
  <c r="J253" i="11" s="1"/>
  <c r="I252" i="11"/>
  <c r="J252" i="11" s="1"/>
  <c r="I251" i="11"/>
  <c r="J251" i="11" s="1"/>
  <c r="I250" i="11"/>
  <c r="J250" i="11" s="1"/>
  <c r="I249" i="11"/>
  <c r="J249" i="11" s="1"/>
  <c r="I248" i="11"/>
  <c r="J248" i="11" s="1"/>
  <c r="I247" i="11"/>
  <c r="J247" i="11" s="1"/>
  <c r="I246" i="11"/>
  <c r="J246" i="11" s="1"/>
  <c r="I245" i="11"/>
  <c r="J245" i="11" s="1"/>
  <c r="I244" i="11"/>
  <c r="J244" i="11" s="1"/>
  <c r="I243" i="11"/>
  <c r="J243" i="11" s="1"/>
  <c r="I242" i="11"/>
  <c r="J242" i="11" s="1"/>
  <c r="I241" i="11"/>
  <c r="J241" i="11" s="1"/>
  <c r="I240" i="11"/>
  <c r="J240" i="11" s="1"/>
  <c r="I239" i="11"/>
  <c r="J239" i="11" s="1"/>
  <c r="I238" i="11"/>
  <c r="J238" i="11" s="1"/>
  <c r="I237" i="11"/>
  <c r="J237" i="11" s="1"/>
  <c r="I236" i="11"/>
  <c r="J236" i="11" s="1"/>
  <c r="I235" i="11"/>
  <c r="J235" i="11" s="1"/>
  <c r="I234" i="11"/>
  <c r="J234" i="11" s="1"/>
  <c r="I233" i="11"/>
  <c r="J233" i="11" s="1"/>
  <c r="I232" i="11"/>
  <c r="J232" i="11" s="1"/>
  <c r="I231" i="11"/>
  <c r="J231" i="11" s="1"/>
  <c r="I230" i="11"/>
  <c r="J230" i="11" s="1"/>
  <c r="I229" i="11"/>
  <c r="J229" i="11" s="1"/>
  <c r="I228" i="11"/>
  <c r="J228" i="11" s="1"/>
  <c r="I227" i="11"/>
  <c r="J227" i="11" s="1"/>
  <c r="I226" i="11"/>
  <c r="J226" i="11" s="1"/>
  <c r="I225" i="11"/>
  <c r="J225" i="11" s="1"/>
  <c r="I224" i="11"/>
  <c r="J224" i="11" s="1"/>
  <c r="I223" i="11"/>
  <c r="J223" i="11" s="1"/>
  <c r="I222" i="11"/>
  <c r="J222" i="11" s="1"/>
  <c r="I221" i="11"/>
  <c r="J221" i="11" s="1"/>
  <c r="I220" i="11"/>
  <c r="J220" i="11" s="1"/>
  <c r="I219" i="11"/>
  <c r="J219" i="11" s="1"/>
  <c r="I218" i="11"/>
  <c r="J218" i="11" s="1"/>
  <c r="I217" i="11"/>
  <c r="J217" i="11" s="1"/>
  <c r="I216" i="11"/>
  <c r="J216" i="11" s="1"/>
  <c r="I215" i="11"/>
  <c r="J215" i="11" s="1"/>
  <c r="I214" i="11"/>
  <c r="J214" i="11" s="1"/>
  <c r="I213" i="11"/>
  <c r="J213" i="11" s="1"/>
  <c r="I212" i="11"/>
  <c r="J212" i="11" s="1"/>
  <c r="I211" i="11"/>
  <c r="J211" i="11" s="1"/>
  <c r="I210" i="11"/>
  <c r="J210" i="11" s="1"/>
  <c r="I209" i="11"/>
  <c r="J209" i="11" s="1"/>
  <c r="I208" i="11"/>
  <c r="J208" i="11" s="1"/>
  <c r="I207" i="11"/>
  <c r="J207" i="11" s="1"/>
  <c r="I206" i="11"/>
  <c r="J206" i="11" s="1"/>
  <c r="I205" i="11"/>
  <c r="J205" i="11" s="1"/>
  <c r="I204" i="11"/>
  <c r="J204" i="11" s="1"/>
  <c r="I203" i="11"/>
  <c r="J203" i="11" s="1"/>
  <c r="I202" i="11"/>
  <c r="J202" i="11" s="1"/>
  <c r="I201" i="11"/>
  <c r="J201" i="11" s="1"/>
  <c r="I200" i="11"/>
  <c r="J200" i="11" s="1"/>
  <c r="I199" i="11"/>
  <c r="J199" i="11" s="1"/>
  <c r="I198" i="11"/>
  <c r="J198" i="11" s="1"/>
  <c r="I197" i="11"/>
  <c r="J197" i="11" s="1"/>
  <c r="I196" i="11"/>
  <c r="J196" i="11" s="1"/>
  <c r="I195" i="11"/>
  <c r="J195" i="11" s="1"/>
  <c r="I194" i="11"/>
  <c r="J194" i="11" s="1"/>
  <c r="I193" i="11"/>
  <c r="J193" i="11" s="1"/>
  <c r="I192" i="11"/>
  <c r="J192" i="11" s="1"/>
  <c r="I191" i="11"/>
  <c r="J191" i="11" s="1"/>
  <c r="I190" i="11"/>
  <c r="J190" i="11" s="1"/>
  <c r="I189" i="11"/>
  <c r="J189" i="11" s="1"/>
  <c r="I188" i="11"/>
  <c r="J188" i="11" s="1"/>
  <c r="I187" i="11"/>
  <c r="J187" i="11" s="1"/>
  <c r="I186" i="11"/>
  <c r="J186" i="11" s="1"/>
  <c r="I185" i="11"/>
  <c r="J185" i="11" s="1"/>
  <c r="I184" i="11"/>
  <c r="J184" i="11" s="1"/>
  <c r="I183" i="11"/>
  <c r="J183" i="11" s="1"/>
  <c r="I182" i="11"/>
  <c r="J182" i="11" s="1"/>
  <c r="I181" i="11"/>
  <c r="J181" i="11" s="1"/>
  <c r="I180" i="11"/>
  <c r="J180" i="11" s="1"/>
  <c r="I179" i="11"/>
  <c r="J179" i="11" s="1"/>
  <c r="I178" i="11"/>
  <c r="J178" i="11" s="1"/>
  <c r="I177" i="11"/>
  <c r="J177" i="11" s="1"/>
  <c r="I176" i="11"/>
  <c r="J176" i="11" s="1"/>
  <c r="I175" i="11"/>
  <c r="J175" i="11" s="1"/>
  <c r="I174" i="11"/>
  <c r="J174" i="11" s="1"/>
  <c r="I173" i="11"/>
  <c r="J173" i="11" s="1"/>
  <c r="I172" i="11"/>
  <c r="J172" i="11" s="1"/>
  <c r="I171" i="11"/>
  <c r="J171" i="11" s="1"/>
  <c r="I170" i="11"/>
  <c r="J170" i="11" s="1"/>
  <c r="I169" i="11"/>
  <c r="J169" i="11" s="1"/>
  <c r="I168" i="11"/>
  <c r="J168" i="11" s="1"/>
  <c r="I167" i="11"/>
  <c r="J167" i="11" s="1"/>
  <c r="I166" i="11"/>
  <c r="J166" i="11" s="1"/>
  <c r="I165" i="11"/>
  <c r="J165" i="11" s="1"/>
  <c r="I164" i="11"/>
  <c r="J164" i="11" s="1"/>
  <c r="I163" i="11"/>
  <c r="J163" i="11" s="1"/>
  <c r="I162" i="11"/>
  <c r="J162" i="11" s="1"/>
  <c r="I161" i="11"/>
  <c r="J161" i="11" s="1"/>
  <c r="I160" i="11"/>
  <c r="J160" i="11" s="1"/>
  <c r="I159" i="11"/>
  <c r="J159" i="11" s="1"/>
  <c r="I158" i="11"/>
  <c r="J158" i="11" s="1"/>
  <c r="I157" i="11"/>
  <c r="J157" i="11" s="1"/>
  <c r="I156" i="11"/>
  <c r="J156" i="11" s="1"/>
  <c r="I155" i="11"/>
  <c r="J155" i="11" s="1"/>
  <c r="I154" i="11"/>
  <c r="J154" i="11" s="1"/>
  <c r="I153" i="11"/>
  <c r="J153" i="11" s="1"/>
  <c r="I152" i="11"/>
  <c r="J152" i="11" s="1"/>
  <c r="I151" i="11"/>
  <c r="J151" i="11" s="1"/>
  <c r="I150" i="11"/>
  <c r="J150" i="11" s="1"/>
  <c r="I149" i="11"/>
  <c r="J149" i="11" s="1"/>
  <c r="I148" i="11"/>
  <c r="J148" i="11" s="1"/>
  <c r="I147" i="11"/>
  <c r="J147" i="11" s="1"/>
  <c r="I146" i="11"/>
  <c r="J146" i="11" s="1"/>
  <c r="I145" i="11"/>
  <c r="J145" i="11" s="1"/>
  <c r="I144" i="11"/>
  <c r="J144" i="11" s="1"/>
  <c r="I143" i="11"/>
  <c r="J143" i="11" s="1"/>
  <c r="I142" i="11"/>
  <c r="J142" i="11" s="1"/>
  <c r="I141" i="11"/>
  <c r="J141" i="11" s="1"/>
  <c r="I140" i="11"/>
  <c r="J140" i="11" s="1"/>
  <c r="I139" i="11"/>
  <c r="J139" i="11" s="1"/>
  <c r="I138" i="11"/>
  <c r="J138" i="11" s="1"/>
  <c r="I137" i="11"/>
  <c r="J137" i="11" s="1"/>
  <c r="I136" i="11"/>
  <c r="J136" i="11" s="1"/>
  <c r="I135" i="11"/>
  <c r="J135" i="11" s="1"/>
  <c r="I134" i="11"/>
  <c r="J134" i="11" s="1"/>
  <c r="I133" i="11"/>
  <c r="J133" i="11" s="1"/>
  <c r="I132" i="11"/>
  <c r="J132" i="11" s="1"/>
  <c r="I131" i="11"/>
  <c r="J131" i="11" s="1"/>
  <c r="I130" i="11"/>
  <c r="J130" i="11" s="1"/>
  <c r="I129" i="11"/>
  <c r="J129" i="11" s="1"/>
  <c r="I128" i="11"/>
  <c r="J128" i="11" s="1"/>
  <c r="I127" i="11"/>
  <c r="J127" i="11" s="1"/>
  <c r="I126" i="11"/>
  <c r="J126" i="11" s="1"/>
  <c r="I125" i="11"/>
  <c r="J125" i="11" s="1"/>
  <c r="I124" i="11"/>
  <c r="J124" i="11" s="1"/>
  <c r="I123" i="11"/>
  <c r="J123" i="11" s="1"/>
  <c r="I122" i="11"/>
  <c r="J122" i="11" s="1"/>
  <c r="I121" i="11"/>
  <c r="J121" i="11" s="1"/>
  <c r="I120" i="11"/>
  <c r="J120" i="11" s="1"/>
  <c r="I119" i="11"/>
  <c r="J119" i="11" s="1"/>
  <c r="I118" i="11"/>
  <c r="J118" i="11" s="1"/>
  <c r="I117" i="11"/>
  <c r="J117" i="11" s="1"/>
  <c r="I116" i="11"/>
  <c r="J116" i="11" s="1"/>
  <c r="I115" i="11"/>
  <c r="J115" i="11" s="1"/>
  <c r="I114" i="11"/>
  <c r="J114" i="11" s="1"/>
  <c r="I113" i="11"/>
  <c r="J113" i="11" s="1"/>
  <c r="I112" i="11"/>
  <c r="J112" i="11" s="1"/>
  <c r="I111" i="11"/>
  <c r="J111" i="11" s="1"/>
  <c r="I110" i="11"/>
  <c r="J110" i="11" s="1"/>
  <c r="I109" i="11"/>
  <c r="J109" i="11" s="1"/>
  <c r="I108" i="11"/>
  <c r="J108" i="11" s="1"/>
  <c r="I107" i="11"/>
  <c r="J107" i="11" s="1"/>
  <c r="I106" i="11"/>
  <c r="J106" i="11" s="1"/>
  <c r="I105" i="11"/>
  <c r="J105" i="11" s="1"/>
  <c r="I104" i="11"/>
  <c r="J104" i="11" s="1"/>
  <c r="I103" i="11"/>
  <c r="J103" i="11" s="1"/>
  <c r="I102" i="11"/>
  <c r="J102" i="11" s="1"/>
  <c r="I101" i="11"/>
  <c r="J101" i="11" s="1"/>
  <c r="I100" i="11"/>
  <c r="J100" i="11" s="1"/>
  <c r="I99" i="11"/>
  <c r="J99" i="11" s="1"/>
  <c r="I98" i="11"/>
  <c r="J98" i="11" s="1"/>
  <c r="I97" i="11"/>
  <c r="J97" i="11" s="1"/>
  <c r="I96" i="11"/>
  <c r="J96" i="11" s="1"/>
  <c r="I95" i="11"/>
  <c r="J95" i="11" s="1"/>
  <c r="I94" i="11"/>
  <c r="J94" i="11" s="1"/>
  <c r="I93" i="11"/>
  <c r="J93" i="11" s="1"/>
  <c r="I92" i="11"/>
  <c r="J92" i="11" s="1"/>
  <c r="I91" i="11"/>
  <c r="J91" i="11" s="1"/>
  <c r="I90" i="11"/>
  <c r="J90" i="11" s="1"/>
  <c r="I89" i="11"/>
  <c r="J89" i="11" s="1"/>
  <c r="I88" i="11"/>
  <c r="J88" i="11" s="1"/>
  <c r="I87" i="11"/>
  <c r="J87" i="11" s="1"/>
  <c r="I86" i="11"/>
  <c r="J86" i="11" s="1"/>
  <c r="I85" i="11"/>
  <c r="J85" i="11" s="1"/>
  <c r="I84" i="11"/>
  <c r="J84" i="11" s="1"/>
  <c r="I83" i="11"/>
  <c r="J83" i="11" s="1"/>
  <c r="I82" i="11"/>
  <c r="J82" i="11" s="1"/>
  <c r="I81" i="11"/>
  <c r="J81" i="11" s="1"/>
  <c r="I80" i="11"/>
  <c r="J80" i="11" s="1"/>
  <c r="I79" i="11"/>
  <c r="J79" i="11" s="1"/>
  <c r="I78" i="11"/>
  <c r="J78" i="11" s="1"/>
  <c r="I77" i="11"/>
  <c r="J77" i="11" s="1"/>
  <c r="I76" i="11"/>
  <c r="J76" i="11" s="1"/>
  <c r="I75" i="11"/>
  <c r="J75" i="11" s="1"/>
  <c r="I74" i="11"/>
  <c r="J74" i="11" s="1"/>
  <c r="I73" i="11"/>
  <c r="J73" i="11" s="1"/>
  <c r="I72" i="11"/>
  <c r="J72" i="11" s="1"/>
  <c r="I71" i="11"/>
  <c r="J71" i="11" s="1"/>
  <c r="I70" i="11"/>
  <c r="J70" i="11" s="1"/>
  <c r="I69" i="11"/>
  <c r="J69" i="11" s="1"/>
  <c r="I68" i="11"/>
  <c r="J68" i="11" s="1"/>
  <c r="I67" i="11"/>
  <c r="J67" i="11" s="1"/>
  <c r="I66" i="11"/>
  <c r="J66" i="11" s="1"/>
  <c r="I65" i="11"/>
  <c r="J65" i="11" s="1"/>
  <c r="I64" i="11"/>
  <c r="J64" i="11" s="1"/>
  <c r="I63" i="11"/>
  <c r="J63" i="11" s="1"/>
  <c r="I62" i="11"/>
  <c r="J62" i="11" s="1"/>
  <c r="I61" i="11"/>
  <c r="J61" i="11" s="1"/>
  <c r="I60" i="11"/>
  <c r="J60" i="11" s="1"/>
  <c r="I59" i="11"/>
  <c r="J59" i="11" s="1"/>
  <c r="I58" i="11"/>
  <c r="J58" i="11" s="1"/>
  <c r="I57" i="11"/>
  <c r="J57" i="11" s="1"/>
  <c r="I56" i="11"/>
  <c r="J56" i="11" s="1"/>
  <c r="I55" i="11"/>
  <c r="J55" i="11" s="1"/>
  <c r="I54" i="11"/>
  <c r="J54" i="11" s="1"/>
  <c r="I53" i="11"/>
  <c r="J53" i="11" s="1"/>
  <c r="I52" i="11"/>
  <c r="J52" i="11" s="1"/>
  <c r="I51" i="11"/>
  <c r="J51" i="11" s="1"/>
  <c r="I50" i="11"/>
  <c r="J50" i="11" s="1"/>
  <c r="I49" i="11"/>
  <c r="J49" i="11" s="1"/>
  <c r="I48" i="11"/>
  <c r="J48" i="11" s="1"/>
  <c r="I47" i="11"/>
  <c r="J47" i="11" s="1"/>
  <c r="I46" i="11"/>
  <c r="J46" i="11" s="1"/>
  <c r="I45" i="11"/>
  <c r="J45" i="11" s="1"/>
  <c r="I44" i="11"/>
  <c r="J44" i="11" s="1"/>
  <c r="I43" i="11"/>
  <c r="J43" i="11" s="1"/>
  <c r="I42" i="11"/>
  <c r="J42" i="11" s="1"/>
  <c r="I41" i="11"/>
  <c r="J41" i="11" s="1"/>
  <c r="I40" i="11"/>
  <c r="J40" i="11" s="1"/>
  <c r="I39" i="11"/>
  <c r="J39" i="11" s="1"/>
  <c r="I38" i="11"/>
  <c r="J38" i="11" s="1"/>
  <c r="I37" i="11"/>
  <c r="J37" i="11" s="1"/>
  <c r="I36" i="11"/>
  <c r="J36" i="11" s="1"/>
  <c r="I35" i="11"/>
  <c r="J35" i="11" s="1"/>
  <c r="I34" i="11"/>
  <c r="J34" i="11" s="1"/>
  <c r="I33" i="11"/>
  <c r="J33" i="11" s="1"/>
  <c r="I32" i="11"/>
  <c r="J32" i="11" s="1"/>
  <c r="I31" i="11"/>
  <c r="J31" i="11" s="1"/>
  <c r="I30" i="11"/>
  <c r="J30" i="11" s="1"/>
  <c r="I29" i="11"/>
  <c r="J29" i="11" s="1"/>
  <c r="I28" i="11"/>
  <c r="J28" i="11" s="1"/>
  <c r="I27" i="11"/>
  <c r="J27" i="11" s="1"/>
  <c r="I26" i="11"/>
  <c r="J26" i="11" s="1"/>
  <c r="I25" i="11"/>
  <c r="J25" i="11" s="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J19" i="11" s="1"/>
  <c r="I18" i="11"/>
  <c r="J18" i="11" s="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I4" i="11"/>
  <c r="J4" i="11" s="1"/>
  <c r="I3" i="11"/>
  <c r="J3" i="11" s="1"/>
  <c r="I2" i="11"/>
  <c r="J2" i="11" s="1"/>
  <c r="K288" i="11"/>
  <c r="L288" i="11" s="1"/>
  <c r="K287" i="11"/>
  <c r="L287" i="11" s="1"/>
  <c r="K286" i="11"/>
  <c r="L286" i="11" s="1"/>
  <c r="K285" i="11"/>
  <c r="L285" i="11" s="1"/>
  <c r="K284" i="11"/>
  <c r="L284" i="11" s="1"/>
  <c r="K283" i="11"/>
  <c r="L283" i="11" s="1"/>
  <c r="K282" i="11"/>
  <c r="L282" i="11" s="1"/>
  <c r="K281" i="11"/>
  <c r="L281" i="11" s="1"/>
  <c r="K280" i="11"/>
  <c r="L280" i="11" s="1"/>
  <c r="K279" i="11"/>
  <c r="L279" i="11" s="1"/>
  <c r="K278" i="11"/>
  <c r="L278" i="11" s="1"/>
  <c r="K277" i="11"/>
  <c r="L277" i="11" s="1"/>
  <c r="K276" i="11"/>
  <c r="L276" i="11" s="1"/>
  <c r="K275" i="11"/>
  <c r="L275" i="11" s="1"/>
  <c r="K274" i="11"/>
  <c r="L274" i="11" s="1"/>
  <c r="K273" i="11"/>
  <c r="L273" i="11" s="1"/>
  <c r="K272" i="11"/>
  <c r="L272" i="11" s="1"/>
  <c r="K271" i="11"/>
  <c r="L271" i="11" s="1"/>
  <c r="K270" i="11"/>
  <c r="L270" i="11" s="1"/>
  <c r="K269" i="11"/>
  <c r="L269" i="11" s="1"/>
  <c r="K268" i="11"/>
  <c r="L268" i="11" s="1"/>
  <c r="K267" i="11"/>
  <c r="L267" i="11" s="1"/>
  <c r="K266" i="11"/>
  <c r="L266" i="11" s="1"/>
  <c r="K265" i="11"/>
  <c r="L265" i="11" s="1"/>
  <c r="K264" i="11"/>
  <c r="L264" i="11" s="1"/>
  <c r="K263" i="11"/>
  <c r="L263" i="11" s="1"/>
  <c r="K262" i="11"/>
  <c r="L262" i="11" s="1"/>
  <c r="K261" i="11"/>
  <c r="L261" i="11" s="1"/>
  <c r="K260" i="11"/>
  <c r="L260" i="11" s="1"/>
  <c r="K259" i="11"/>
  <c r="L259" i="11" s="1"/>
  <c r="K258" i="11"/>
  <c r="L258" i="11" s="1"/>
  <c r="K257" i="11"/>
  <c r="L257" i="11" s="1"/>
  <c r="K256" i="11"/>
  <c r="L256" i="11" s="1"/>
  <c r="K255" i="11"/>
  <c r="L255" i="11" s="1"/>
  <c r="K254" i="11"/>
  <c r="L254" i="11" s="1"/>
  <c r="K253" i="11"/>
  <c r="L253" i="11" s="1"/>
  <c r="K252" i="11"/>
  <c r="L252" i="11" s="1"/>
  <c r="K251" i="11"/>
  <c r="L251" i="11" s="1"/>
  <c r="K250" i="11"/>
  <c r="L250" i="11" s="1"/>
  <c r="K249" i="11"/>
  <c r="L249" i="11" s="1"/>
  <c r="K248" i="11"/>
  <c r="L248" i="11" s="1"/>
  <c r="K247" i="11"/>
  <c r="L247" i="11" s="1"/>
  <c r="K246" i="11"/>
  <c r="L246" i="11" s="1"/>
  <c r="K245" i="11"/>
  <c r="L245" i="11" s="1"/>
  <c r="K244" i="11"/>
  <c r="L244" i="11" s="1"/>
  <c r="K243" i="11"/>
  <c r="L243" i="11" s="1"/>
  <c r="K242" i="11"/>
  <c r="L242" i="11" s="1"/>
  <c r="K241" i="11"/>
  <c r="L241" i="11" s="1"/>
  <c r="K240" i="11"/>
  <c r="L240" i="11" s="1"/>
  <c r="K239" i="11"/>
  <c r="L239" i="11" s="1"/>
  <c r="K238" i="11"/>
  <c r="L238" i="11" s="1"/>
  <c r="K237" i="11"/>
  <c r="L237" i="11" s="1"/>
  <c r="K236" i="11"/>
  <c r="L236" i="11" s="1"/>
  <c r="K235" i="11"/>
  <c r="L235" i="11" s="1"/>
  <c r="K234" i="11"/>
  <c r="L234" i="11" s="1"/>
  <c r="K233" i="11"/>
  <c r="L233" i="11" s="1"/>
  <c r="K232" i="11"/>
  <c r="L232" i="11" s="1"/>
  <c r="K231" i="11"/>
  <c r="L231" i="11" s="1"/>
  <c r="K230" i="11"/>
  <c r="L230" i="11" s="1"/>
  <c r="K229" i="11"/>
  <c r="L229" i="11" s="1"/>
  <c r="K228" i="11"/>
  <c r="L228" i="11" s="1"/>
  <c r="K227" i="11"/>
  <c r="L227" i="11" s="1"/>
  <c r="K226" i="11"/>
  <c r="L226" i="11" s="1"/>
  <c r="K225" i="11"/>
  <c r="L225" i="11" s="1"/>
  <c r="K224" i="11"/>
  <c r="L224" i="11" s="1"/>
  <c r="K223" i="11"/>
  <c r="L223" i="11" s="1"/>
  <c r="K222" i="11"/>
  <c r="L222" i="11" s="1"/>
  <c r="K221" i="11"/>
  <c r="L221" i="11" s="1"/>
  <c r="K220" i="11"/>
  <c r="L220" i="11" s="1"/>
  <c r="K219" i="11"/>
  <c r="L219" i="11" s="1"/>
  <c r="K218" i="11"/>
  <c r="L218" i="11" s="1"/>
  <c r="K217" i="11"/>
  <c r="L217" i="11" s="1"/>
  <c r="K216" i="11"/>
  <c r="L216" i="11" s="1"/>
  <c r="K215" i="11"/>
  <c r="L215" i="11" s="1"/>
  <c r="K214" i="11"/>
  <c r="L214" i="11" s="1"/>
  <c r="K213" i="11"/>
  <c r="L213" i="11" s="1"/>
  <c r="K212" i="11"/>
  <c r="L212" i="11" s="1"/>
  <c r="K211" i="11"/>
  <c r="L211" i="11" s="1"/>
  <c r="K210" i="11"/>
  <c r="L210" i="11" s="1"/>
  <c r="K209" i="11"/>
  <c r="L209" i="11" s="1"/>
  <c r="K208" i="11"/>
  <c r="L208" i="11" s="1"/>
  <c r="K207" i="11"/>
  <c r="L207" i="11" s="1"/>
  <c r="K206" i="11"/>
  <c r="L206" i="11" s="1"/>
  <c r="K205" i="11"/>
  <c r="L205" i="11" s="1"/>
  <c r="K204" i="11"/>
  <c r="L204" i="11" s="1"/>
  <c r="K203" i="11"/>
  <c r="L203" i="11" s="1"/>
  <c r="K202" i="11"/>
  <c r="L202" i="11" s="1"/>
  <c r="K201" i="11"/>
  <c r="L201" i="11" s="1"/>
  <c r="K200" i="11"/>
  <c r="L200" i="11" s="1"/>
  <c r="K199" i="11"/>
  <c r="L199" i="11" s="1"/>
  <c r="K198" i="11"/>
  <c r="L198" i="11" s="1"/>
  <c r="K197" i="11"/>
  <c r="L197" i="11" s="1"/>
  <c r="K196" i="11"/>
  <c r="L196" i="11" s="1"/>
  <c r="K195" i="11"/>
  <c r="L195" i="11" s="1"/>
  <c r="K194" i="11"/>
  <c r="L194" i="11" s="1"/>
  <c r="K193" i="11"/>
  <c r="L193" i="11" s="1"/>
  <c r="K192" i="11"/>
  <c r="L192" i="11" s="1"/>
  <c r="K191" i="11"/>
  <c r="L191" i="11" s="1"/>
  <c r="K190" i="11"/>
  <c r="L190" i="11" s="1"/>
  <c r="K189" i="11"/>
  <c r="L189" i="11" s="1"/>
  <c r="K188" i="11"/>
  <c r="L188" i="11" s="1"/>
  <c r="K187" i="11"/>
  <c r="L187" i="11" s="1"/>
  <c r="K186" i="11"/>
  <c r="L186" i="11" s="1"/>
  <c r="K185" i="11"/>
  <c r="L185" i="11" s="1"/>
  <c r="K184" i="11"/>
  <c r="L184" i="11" s="1"/>
  <c r="K183" i="11"/>
  <c r="K182" i="11"/>
  <c r="L182" i="11" s="1"/>
  <c r="K181" i="11"/>
  <c r="L181" i="11" s="1"/>
  <c r="K180" i="11"/>
  <c r="L180" i="11" s="1"/>
  <c r="K179" i="11"/>
  <c r="L179" i="11" s="1"/>
  <c r="K178" i="11"/>
  <c r="L178" i="11" s="1"/>
  <c r="K177" i="11"/>
  <c r="L177" i="11" s="1"/>
  <c r="K176" i="11"/>
  <c r="L176" i="11" s="1"/>
  <c r="K175" i="11"/>
  <c r="L175" i="11" s="1"/>
  <c r="K174" i="11"/>
  <c r="L174" i="11" s="1"/>
  <c r="K173" i="11"/>
  <c r="L173" i="11" s="1"/>
  <c r="K172" i="11"/>
  <c r="L172" i="11" s="1"/>
  <c r="K171" i="11"/>
  <c r="L171" i="11" s="1"/>
  <c r="K170" i="11"/>
  <c r="L170" i="11" s="1"/>
  <c r="K169" i="11"/>
  <c r="L169" i="11" s="1"/>
  <c r="K168" i="11"/>
  <c r="L168" i="11" s="1"/>
  <c r="K167" i="11"/>
  <c r="L167" i="11" s="1"/>
  <c r="K166" i="11"/>
  <c r="L166" i="11" s="1"/>
  <c r="K165" i="11"/>
  <c r="L165" i="11" s="1"/>
  <c r="K164" i="11"/>
  <c r="L164" i="11" s="1"/>
  <c r="K163" i="11"/>
  <c r="L163" i="11" s="1"/>
  <c r="K162" i="11"/>
  <c r="L162" i="11" s="1"/>
  <c r="K161" i="11"/>
  <c r="L161" i="11" s="1"/>
  <c r="K160" i="11"/>
  <c r="L160" i="11" s="1"/>
  <c r="K159" i="11"/>
  <c r="L159" i="11" s="1"/>
  <c r="K158" i="11"/>
  <c r="L158" i="11" s="1"/>
  <c r="K157" i="11"/>
  <c r="L157" i="11" s="1"/>
  <c r="K156" i="11"/>
  <c r="L156" i="11" s="1"/>
  <c r="K155" i="11"/>
  <c r="L155" i="11" s="1"/>
  <c r="K154" i="11"/>
  <c r="L154" i="11" s="1"/>
  <c r="K153" i="11"/>
  <c r="L153" i="11" s="1"/>
  <c r="K152" i="11"/>
  <c r="L152" i="11" s="1"/>
  <c r="K151" i="11"/>
  <c r="L151" i="11" s="1"/>
  <c r="K150" i="11"/>
  <c r="L150" i="11" s="1"/>
  <c r="K149" i="11"/>
  <c r="L149" i="11" s="1"/>
  <c r="K148" i="11"/>
  <c r="L148" i="11" s="1"/>
  <c r="K147" i="11"/>
  <c r="L147" i="11" s="1"/>
  <c r="K146" i="11"/>
  <c r="L146" i="11" s="1"/>
  <c r="K145" i="11"/>
  <c r="L145" i="11" s="1"/>
  <c r="K144" i="11"/>
  <c r="L144" i="11" s="1"/>
  <c r="K143" i="11"/>
  <c r="L143" i="11" s="1"/>
  <c r="K142" i="11"/>
  <c r="L142" i="11" s="1"/>
  <c r="K141" i="11"/>
  <c r="L141" i="11" s="1"/>
  <c r="K140" i="11"/>
  <c r="L140" i="11" s="1"/>
  <c r="K139" i="11"/>
  <c r="L139" i="11" s="1"/>
  <c r="K138" i="11"/>
  <c r="L138" i="11" s="1"/>
  <c r="K137" i="11"/>
  <c r="L137" i="11" s="1"/>
  <c r="K136" i="11"/>
  <c r="L136" i="11" s="1"/>
  <c r="K135" i="11"/>
  <c r="L135" i="11" s="1"/>
  <c r="K134" i="11"/>
  <c r="L134" i="11" s="1"/>
  <c r="K133" i="11"/>
  <c r="L133" i="11" s="1"/>
  <c r="K132" i="11"/>
  <c r="L132" i="11" s="1"/>
  <c r="K131" i="11"/>
  <c r="L131" i="11" s="1"/>
  <c r="K130" i="11"/>
  <c r="L130" i="11" s="1"/>
  <c r="K129" i="11"/>
  <c r="L129" i="11" s="1"/>
  <c r="K128" i="11"/>
  <c r="L128" i="11" s="1"/>
  <c r="K127" i="11"/>
  <c r="L127" i="11" s="1"/>
  <c r="K126" i="11"/>
  <c r="L126" i="11" s="1"/>
  <c r="K125" i="11"/>
  <c r="L125" i="11" s="1"/>
  <c r="K124" i="11"/>
  <c r="L124" i="11" s="1"/>
  <c r="K123" i="11"/>
  <c r="L123" i="11" s="1"/>
  <c r="K122" i="11"/>
  <c r="L122" i="11" s="1"/>
  <c r="K121" i="11"/>
  <c r="L121" i="11" s="1"/>
  <c r="K120" i="11"/>
  <c r="L120" i="11" s="1"/>
  <c r="K119" i="11"/>
  <c r="L119" i="11" s="1"/>
  <c r="K118" i="11"/>
  <c r="L118" i="11" s="1"/>
  <c r="K117" i="11"/>
  <c r="L117" i="11" s="1"/>
  <c r="K116" i="11"/>
  <c r="L116" i="11" s="1"/>
  <c r="K115" i="11"/>
  <c r="L115" i="11" s="1"/>
  <c r="K114" i="11"/>
  <c r="L114" i="11" s="1"/>
  <c r="K113" i="11"/>
  <c r="L113" i="11" s="1"/>
  <c r="K112" i="11"/>
  <c r="L112" i="11" s="1"/>
  <c r="K111" i="11"/>
  <c r="L111" i="11" s="1"/>
  <c r="K110" i="11"/>
  <c r="L110" i="11" s="1"/>
  <c r="K109" i="11"/>
  <c r="L109" i="11" s="1"/>
  <c r="K108" i="11"/>
  <c r="L108" i="11" s="1"/>
  <c r="K107" i="11"/>
  <c r="L107" i="11" s="1"/>
  <c r="K106" i="11"/>
  <c r="L106" i="11" s="1"/>
  <c r="K105" i="11"/>
  <c r="L105" i="11" s="1"/>
  <c r="K104" i="11"/>
  <c r="L104" i="11" s="1"/>
  <c r="K103" i="11"/>
  <c r="L103" i="11" s="1"/>
  <c r="K102" i="11"/>
  <c r="L102" i="11" s="1"/>
  <c r="K101" i="11"/>
  <c r="L101" i="11" s="1"/>
  <c r="K100" i="11"/>
  <c r="L100" i="11" s="1"/>
  <c r="K99" i="11"/>
  <c r="L99" i="11" s="1"/>
  <c r="K98" i="11"/>
  <c r="L98" i="11" s="1"/>
  <c r="K97" i="11"/>
  <c r="L97" i="11" s="1"/>
  <c r="K96" i="11"/>
  <c r="L96" i="11" s="1"/>
  <c r="K95" i="11"/>
  <c r="L95" i="11" s="1"/>
  <c r="K94" i="11"/>
  <c r="L94" i="11" s="1"/>
  <c r="K93" i="11"/>
  <c r="L93" i="11" s="1"/>
  <c r="K92" i="11"/>
  <c r="L92" i="11" s="1"/>
  <c r="K91" i="11"/>
  <c r="L91" i="11" s="1"/>
  <c r="K90" i="11"/>
  <c r="L90" i="11" s="1"/>
  <c r="K89" i="11"/>
  <c r="L89" i="11" s="1"/>
  <c r="K88" i="11"/>
  <c r="L88" i="11" s="1"/>
  <c r="K87" i="11"/>
  <c r="L87" i="11" s="1"/>
  <c r="K86" i="11"/>
  <c r="L86" i="11" s="1"/>
  <c r="K85" i="11"/>
  <c r="L85" i="11" s="1"/>
  <c r="K84" i="11"/>
  <c r="L84" i="11" s="1"/>
  <c r="K83" i="11"/>
  <c r="L83" i="11" s="1"/>
  <c r="K82" i="11"/>
  <c r="L82" i="11" s="1"/>
  <c r="K81" i="11"/>
  <c r="L81" i="11" s="1"/>
  <c r="K80" i="11"/>
  <c r="L80" i="11" s="1"/>
  <c r="K79" i="11"/>
  <c r="L79" i="11" s="1"/>
  <c r="K78" i="11"/>
  <c r="L78" i="11" s="1"/>
  <c r="K77" i="11"/>
  <c r="L77" i="11" s="1"/>
  <c r="K76" i="11"/>
  <c r="L76" i="11" s="1"/>
  <c r="K75" i="11"/>
  <c r="L75" i="11" s="1"/>
  <c r="K74" i="11"/>
  <c r="L74" i="11" s="1"/>
  <c r="K73" i="11"/>
  <c r="L73" i="11" s="1"/>
  <c r="K72" i="11"/>
  <c r="L72" i="11" s="1"/>
  <c r="K71" i="11"/>
  <c r="L71" i="11" s="1"/>
  <c r="K70" i="11"/>
  <c r="L70" i="11" s="1"/>
  <c r="K69" i="11"/>
  <c r="L69" i="11" s="1"/>
  <c r="K68" i="11"/>
  <c r="L68" i="11" s="1"/>
  <c r="K67" i="11"/>
  <c r="L67" i="11" s="1"/>
  <c r="K66" i="11"/>
  <c r="L66" i="11" s="1"/>
  <c r="K65" i="11"/>
  <c r="L65" i="11" s="1"/>
  <c r="K64" i="11"/>
  <c r="L64" i="11" s="1"/>
  <c r="K63" i="11"/>
  <c r="L63" i="11" s="1"/>
  <c r="K62" i="11"/>
  <c r="L62" i="11" s="1"/>
  <c r="K61" i="11"/>
  <c r="L61" i="11" s="1"/>
  <c r="K60" i="11"/>
  <c r="L60" i="11" s="1"/>
  <c r="K59" i="11"/>
  <c r="L59" i="11" s="1"/>
  <c r="K58" i="11"/>
  <c r="L58" i="11" s="1"/>
  <c r="K57" i="11"/>
  <c r="L57" i="11" s="1"/>
  <c r="K56" i="11"/>
  <c r="L56" i="11" s="1"/>
  <c r="K55" i="11"/>
  <c r="L55" i="11" s="1"/>
  <c r="K54" i="11"/>
  <c r="L54" i="11" s="1"/>
  <c r="K53" i="11"/>
  <c r="L53" i="11" s="1"/>
  <c r="K52" i="11"/>
  <c r="L52" i="11" s="1"/>
  <c r="K51" i="11"/>
  <c r="L51" i="11" s="1"/>
  <c r="K50" i="11"/>
  <c r="L50" i="11" s="1"/>
  <c r="K49" i="11"/>
  <c r="L49" i="11" s="1"/>
  <c r="K48" i="11"/>
  <c r="L48" i="11" s="1"/>
  <c r="K47" i="11"/>
  <c r="L47" i="11" s="1"/>
  <c r="K46" i="11"/>
  <c r="L46" i="11" s="1"/>
  <c r="K45" i="11"/>
  <c r="L45" i="11" s="1"/>
  <c r="K44" i="11"/>
  <c r="L44" i="11" s="1"/>
  <c r="K43" i="11"/>
  <c r="L43" i="11" s="1"/>
  <c r="K42" i="11"/>
  <c r="L42" i="11" s="1"/>
  <c r="K41" i="11"/>
  <c r="L41" i="11" s="1"/>
  <c r="K40" i="11"/>
  <c r="L40" i="11" s="1"/>
  <c r="K39" i="11"/>
  <c r="L39" i="11" s="1"/>
  <c r="K38" i="11"/>
  <c r="L38" i="11" s="1"/>
  <c r="K37" i="11"/>
  <c r="L37" i="11" s="1"/>
  <c r="K36" i="11"/>
  <c r="L36" i="11" s="1"/>
  <c r="K35" i="11"/>
  <c r="L35" i="11" s="1"/>
  <c r="K34" i="11"/>
  <c r="L34" i="11" s="1"/>
  <c r="K33" i="11"/>
  <c r="L33" i="11" s="1"/>
  <c r="K32" i="11"/>
  <c r="L32" i="11" s="1"/>
  <c r="K31" i="11"/>
  <c r="L31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K24" i="11"/>
  <c r="L24" i="11" s="1"/>
  <c r="K23" i="11"/>
  <c r="L23" i="11" s="1"/>
  <c r="K22" i="11"/>
  <c r="L22" i="11" s="1"/>
  <c r="K21" i="11"/>
  <c r="L21" i="11" s="1"/>
  <c r="K20" i="11"/>
  <c r="L20" i="11" s="1"/>
  <c r="K19" i="11"/>
  <c r="L19" i="11" s="1"/>
  <c r="K18" i="11"/>
  <c r="L18" i="11" s="1"/>
  <c r="K17" i="11"/>
  <c r="L17" i="11" s="1"/>
  <c r="K16" i="11"/>
  <c r="L16" i="11" s="1"/>
  <c r="K15" i="11"/>
  <c r="L15" i="11" s="1"/>
  <c r="K14" i="11"/>
  <c r="L14" i="11" s="1"/>
  <c r="K13" i="11"/>
  <c r="L13" i="11" s="1"/>
  <c r="K12" i="11"/>
  <c r="L12" i="11" s="1"/>
  <c r="K11" i="11"/>
  <c r="L11" i="11" s="1"/>
  <c r="K10" i="11"/>
  <c r="L10" i="11" s="1"/>
  <c r="K9" i="11"/>
  <c r="L9" i="11" s="1"/>
  <c r="K8" i="11"/>
  <c r="L8" i="11" s="1"/>
  <c r="K7" i="11"/>
  <c r="L7" i="11" s="1"/>
  <c r="K6" i="11"/>
  <c r="L6" i="11" s="1"/>
  <c r="K5" i="11"/>
  <c r="L5" i="11" s="1"/>
  <c r="K4" i="11"/>
  <c r="L4" i="11" s="1"/>
  <c r="K3" i="11"/>
  <c r="L3" i="11" s="1"/>
  <c r="K2" i="11"/>
  <c r="L2" i="11" s="1"/>
  <c r="L183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I289" i="11"/>
  <c r="J289" i="11" s="1"/>
  <c r="H2" i="11"/>
  <c r="K289" i="11"/>
  <c r="L289" i="11" s="1"/>
  <c r="H9" i="11"/>
  <c r="H8" i="11"/>
  <c r="H7" i="11"/>
  <c r="H6" i="11"/>
  <c r="H5" i="11"/>
  <c r="H4" i="11"/>
  <c r="H3" i="11"/>
  <c r="X7" i="8"/>
  <c r="X6" i="8"/>
  <c r="X5" i="8"/>
  <c r="X5" i="5"/>
  <c r="X4" i="8"/>
  <c r="X8" i="7"/>
  <c r="X6" i="5"/>
  <c r="X4" i="2"/>
  <c r="X5" i="1"/>
  <c r="Y4" i="8" l="1" a="1"/>
  <c r="Y4" i="8" s="1"/>
  <c r="Y6" i="8" a="1"/>
  <c r="Y6" i="8" s="1"/>
  <c r="Y5" i="8" a="1"/>
  <c r="Y5" i="8" s="1"/>
  <c r="Y7" i="8" a="1"/>
  <c r="Y7" i="8" s="1"/>
  <c r="X4" i="7"/>
  <c r="X5" i="7"/>
  <c r="X6" i="7"/>
  <c r="X7" i="7"/>
  <c r="X4" i="5"/>
  <c r="Y4" i="5" s="1" a="1"/>
  <c r="Y4" i="5" s="1"/>
  <c r="Y5" i="5" a="1"/>
  <c r="Y5" i="5" s="1"/>
  <c r="X5" i="2"/>
  <c r="X4" i="1"/>
  <c r="X7" i="1"/>
  <c r="X6" i="1"/>
  <c r="Y7" i="7" l="1" a="1"/>
  <c r="Y7" i="7" s="1"/>
  <c r="Y6" i="7" a="1"/>
  <c r="Y6" i="7" s="1"/>
  <c r="Y5" i="7" a="1"/>
  <c r="Y5" i="7" s="1"/>
  <c r="Y4" i="7" a="1"/>
  <c r="Y4" i="7" s="1"/>
  <c r="Y8" i="7" a="1"/>
  <c r="Y8" i="7" s="1"/>
  <c r="Y6" i="5" a="1"/>
  <c r="Y6" i="5" s="1"/>
  <c r="Y4" i="2" a="1"/>
  <c r="Y4" i="2" s="1"/>
  <c r="Y7" i="2" a="1"/>
  <c r="Y7" i="2" s="1"/>
  <c r="Y6" i="2" a="1"/>
  <c r="Y6" i="2" s="1"/>
  <c r="Y6" i="1" a="1"/>
  <c r="Y6" i="1" s="1"/>
  <c r="Y7" i="1" a="1"/>
  <c r="Y7" i="1" s="1"/>
  <c r="Y4" i="1" a="1"/>
  <c r="Y4" i="1" s="1"/>
  <c r="Y5" i="1" a="1"/>
  <c r="Y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<sst xmlns="http://schemas.openxmlformats.org/spreadsheetml/2006/main" count="3087" uniqueCount="265">
  <si>
    <t>#Class</t>
  </si>
  <si>
    <t>Conv</t>
  </si>
  <si>
    <t>#Param</t>
  </si>
  <si>
    <t>logLik</t>
  </si>
  <si>
    <t>Scale</t>
  </si>
  <si>
    <t>LL Rep</t>
  </si>
  <si>
    <t>AIC</t>
  </si>
  <si>
    <t>CAIC</t>
  </si>
  <si>
    <t>BIC</t>
  </si>
  <si>
    <t>SABIC</t>
  </si>
  <si>
    <t>Chi-Pear</t>
  </si>
  <si>
    <t>Chi-LRT</t>
  </si>
  <si>
    <t>LMR-LRT</t>
  </si>
  <si>
    <t>A-LRT</t>
  </si>
  <si>
    <t>Entropy</t>
  </si>
  <si>
    <t>p1</t>
  </si>
  <si>
    <t>p2</t>
  </si>
  <si>
    <t>p3</t>
  </si>
  <si>
    <t>p4</t>
  </si>
  <si>
    <t>p5</t>
  </si>
  <si>
    <t>p6</t>
  </si>
  <si>
    <t>delta_BIC</t>
  </si>
  <si>
    <t>cmPk</t>
  </si>
  <si>
    <t>Yes</t>
  </si>
  <si>
    <t>W1.1_CAWI, N = 3777</t>
  </si>
  <si>
    <t>SENSAN PAPI, w1.1, N = 10556</t>
  </si>
  <si>
    <t>CurDiffBIC</t>
  </si>
  <si>
    <t>Cur_cmPk</t>
  </si>
  <si>
    <t>3 oder 4</t>
  </si>
  <si>
    <t>3 oder 6</t>
  </si>
  <si>
    <t>Average Latent Class Probabilities for Most Likely Latent Class Membership (Row)</t>
  </si>
  <si>
    <t>by Latent Class (Column)</t>
  </si>
  <si>
    <t>Category</t>
  </si>
  <si>
    <t>Latent Class 1</t>
  </si>
  <si>
    <t>Extr</t>
  </si>
  <si>
    <t>Mid</t>
  </si>
  <si>
    <t>BreakOff</t>
  </si>
  <si>
    <t>No Break-off</t>
  </si>
  <si>
    <t>Break-off</t>
  </si>
  <si>
    <t>Not above average</t>
  </si>
  <si>
    <t>Open Question Missings</t>
  </si>
  <si>
    <t>ItemNonresponseRatio</t>
  </si>
  <si>
    <t>Lower than 66th percentile</t>
  </si>
  <si>
    <t xml:space="preserve">Nondiff Weak &gt;66th percentile </t>
  </si>
  <si>
    <t>Not often (&lt;50% of grids)</t>
  </si>
  <si>
    <t xml:space="preserve">Nondiff Strong &gt;66th percentile </t>
  </si>
  <si>
    <t>Not 0-50% of grids</t>
  </si>
  <si>
    <t>&lt;50% of grids</t>
  </si>
  <si>
    <t>Speeding</t>
  </si>
  <si>
    <t>Proportion</t>
  </si>
  <si>
    <t>S.E.</t>
  </si>
  <si>
    <t>Est./S.E.</t>
  </si>
  <si>
    <t>Two-Tailed p-Value</t>
  </si>
  <si>
    <t>Code</t>
  </si>
  <si>
    <t>Latent Class 2</t>
  </si>
  <si>
    <t>Latent Class 3</t>
  </si>
  <si>
    <t>Latent Class 4</t>
  </si>
  <si>
    <t>Extr: Above average</t>
  </si>
  <si>
    <t>Mid: Above average</t>
  </si>
  <si>
    <t>OQM: Above average</t>
  </si>
  <si>
    <t>INR: Higher than 66th percentile</t>
  </si>
  <si>
    <t>ND Weak: Often (&gt;= 50% of grids)</t>
  </si>
  <si>
    <t>ND Strong: Often (&gt;= 50% of grids)</t>
  </si>
  <si>
    <t>ND Strong: Sometimes (0-50% of grids)</t>
  </si>
  <si>
    <t>Proportion of speeded items &lt; 1,5*SD</t>
  </si>
  <si>
    <t>Proportion of speeded items &gt;= 1,5*SD</t>
  </si>
  <si>
    <t>Optimizers</t>
  </si>
  <si>
    <t>ExtreMiss</t>
  </si>
  <si>
    <t>Indifferents</t>
  </si>
  <si>
    <t>Extremes</t>
  </si>
  <si>
    <t>Midpoint</t>
  </si>
  <si>
    <t xml:space="preserve">3 LC </t>
  </si>
  <si>
    <t xml:space="preserve">4 LC </t>
  </si>
  <si>
    <t>Indifferent</t>
  </si>
  <si>
    <t>Optimize</t>
  </si>
  <si>
    <t>Wave</t>
  </si>
  <si>
    <t>Mode</t>
  </si>
  <si>
    <t>LC</t>
  </si>
  <si>
    <t>Indicator</t>
  </si>
  <si>
    <t>ProbOmega</t>
  </si>
  <si>
    <t>Strong nondiff (often)</t>
  </si>
  <si>
    <t>Weak nondiff (often)</t>
  </si>
  <si>
    <t>Strong nondiff (sometimes)</t>
  </si>
  <si>
    <t>Indicators Explanation:</t>
  </si>
  <si>
    <t>Model</t>
  </si>
  <si>
    <t>Pattern</t>
  </si>
  <si>
    <t>PropPostProb</t>
  </si>
  <si>
    <t>ProbMostLikely</t>
  </si>
  <si>
    <t>Closed question nonresponse</t>
  </si>
  <si>
    <t>Open question nonresponse</t>
  </si>
  <si>
    <t>Midpoint selection</t>
  </si>
  <si>
    <t>Extremes selection</t>
  </si>
  <si>
    <t>Variable</t>
  </si>
  <si>
    <t>Comparison</t>
  </si>
  <si>
    <t>OR</t>
  </si>
  <si>
    <t>LLLogit</t>
  </si>
  <si>
    <t>LLOR</t>
  </si>
  <si>
    <t>UUlogit</t>
  </si>
  <si>
    <t>UUOR</t>
  </si>
  <si>
    <t>3 vs 2</t>
  </si>
  <si>
    <t>1 vs 2</t>
  </si>
  <si>
    <t>3 vs 1</t>
  </si>
  <si>
    <t>Ind v Opt</t>
  </si>
  <si>
    <t>ExM v Opt</t>
  </si>
  <si>
    <t>ExM v Ind</t>
  </si>
  <si>
    <t>1 vs 3</t>
  </si>
  <si>
    <t>IndvOpt</t>
  </si>
  <si>
    <t>ExMvOpt</t>
  </si>
  <si>
    <t>ExMvInd</t>
  </si>
  <si>
    <t>2 vs 3</t>
  </si>
  <si>
    <t>2 vs 1</t>
  </si>
  <si>
    <t>Est./S.E. (z)</t>
  </si>
  <si>
    <t>Est (log-Odds)</t>
  </si>
  <si>
    <t>Two-Tailed p-value</t>
  </si>
  <si>
    <t>Gender: Female (Ref: Not female</t>
  </si>
  <si>
    <t>Variable2</t>
  </si>
  <si>
    <t>p7</t>
  </si>
  <si>
    <t>p8</t>
  </si>
  <si>
    <t>p9</t>
  </si>
  <si>
    <t>p10</t>
  </si>
  <si>
    <t>Final class counts based on posterior probs</t>
  </si>
  <si>
    <t>Final class counts based on most likely class</t>
  </si>
  <si>
    <t>1</t>
  </si>
  <si>
    <t>2</t>
  </si>
  <si>
    <t>3</t>
  </si>
  <si>
    <t>LC1</t>
  </si>
  <si>
    <t>LC2</t>
  </si>
  <si>
    <t>LC3</t>
  </si>
  <si>
    <t>NDSt often</t>
  </si>
  <si>
    <t>NDWk often</t>
  </si>
  <si>
    <t>NDSt sometimes</t>
  </si>
  <si>
    <t>Missingness</t>
  </si>
  <si>
    <t>"LC1 Indifferent (31%)";"LC2 Optimize (61%)";"LC3 ExtreMiss (8%)"</t>
  </si>
  <si>
    <t>Indiff</t>
  </si>
  <si>
    <t>Opt</t>
  </si>
  <si>
    <t>Exm</t>
  </si>
  <si>
    <t>Based on posterior probs</t>
  </si>
  <si>
    <t>Based on most likely class membership</t>
  </si>
  <si>
    <t>"LC1 Indifferent (29%)";"LC2 ExtreMiss (13%)";"LC3 Optimize (58%)"</t>
  </si>
  <si>
    <t>Most likely membership</t>
  </si>
  <si>
    <r>
      <t xml:space="preserve">"LC1 Optimize (62%)";"LC2 </t>
    </r>
    <r>
      <rPr>
        <b/>
        <sz val="11"/>
        <color rgb="FF000000"/>
        <rFont val="Calibri"/>
        <family val="2"/>
        <scheme val="minor"/>
      </rPr>
      <t>ExtreMiss (12%)</t>
    </r>
    <r>
      <rPr>
        <sz val="11"/>
        <color rgb="FF000000"/>
        <rFont val="Calibri"/>
        <family val="2"/>
        <scheme val="minor"/>
      </rPr>
      <t>";"LC3 Indifferent (26%)"</t>
    </r>
  </si>
  <si>
    <t>Opti</t>
  </si>
  <si>
    <t>Post Prob Based</t>
  </si>
  <si>
    <t>Based on most likely</t>
  </si>
  <si>
    <t>"LC1 Indifferent (30%)";"LC2 ExtreMiss (19%)";"LC3 Optimize (50%)"</t>
  </si>
  <si>
    <t>Optim</t>
  </si>
  <si>
    <t>posterior probs</t>
  </si>
  <si>
    <t>most likely group</t>
  </si>
  <si>
    <t>ND strong sometimes, Extr</t>
  </si>
  <si>
    <t>Nonrespo, sometimes ND strong, Extr</t>
  </si>
  <si>
    <t>ND strong &amp; midpoint, speeding</t>
  </si>
  <si>
    <t>Mid, Missings, ND strong, Speeding</t>
  </si>
  <si>
    <t>Indiffs</t>
  </si>
  <si>
    <t>ExtreMis</t>
  </si>
  <si>
    <t>Complex</t>
  </si>
  <si>
    <t>Complex Satisficers</t>
  </si>
  <si>
    <t>"LC1 Indifferent (17%)";"LC2 Optimize (53%)";"LC3 ExtreMiss (20%)";"LC4 Complex Satisficers(10%)"</t>
  </si>
  <si>
    <t>most likely LC</t>
  </si>
  <si>
    <t>"LC1 ExtreMiss (20%)";"LC2 Indifferent (27%)";"LC3 Optimize (53%) "</t>
  </si>
  <si>
    <t>most likely LD</t>
  </si>
  <si>
    <t>"LC1 Indifferent (23%)";"LC2 ExtreMiss (16%)";"LC3 Optimize (61%)"</t>
  </si>
  <si>
    <t>23&amp;3&amp;-19715,304&amp;39629,395 &amp; 39556,308 &amp;39652,395 &amp;0&amp;0,575&amp;0,135&amp;0,797</t>
  </si>
  <si>
    <t>29&amp;3&amp;-13294,707&amp;26828,416 &amp; 26736,268 &amp;26857,416 &amp;0&amp;0,623&amp;0,116&amp;0,887</t>
  </si>
  <si>
    <t>23&amp;3&amp;-17515,153&amp;35226,68 &amp; 35153,594 &amp;35249,68 &amp;0&amp;0,501&amp;0,194&amp;0,798</t>
  </si>
  <si>
    <t>2559&amp;23&amp;3&amp;-7998,793&amp;16178,075 &amp; 16104,998 &amp;16201,075 &amp;0&amp;0,607&amp;0,159&amp;0,88</t>
  </si>
  <si>
    <t>5568&amp;29&amp;3&amp;-18928,395&amp;38106,91 &amp; 38014,756 &amp;38135,91 &amp;0&amp;0,531&amp;0,196&amp;0,914</t>
  </si>
  <si>
    <t>3777&amp;29&amp;3&amp;-13257,677&amp;26754,218 &amp; 26662,07 &amp;26783,218 &amp;0,001&amp;0,613&amp;0,082&amp;0,88</t>
  </si>
  <si>
    <t>W1.1 PAPI (N = 5,670)</t>
  </si>
  <si>
    <t>W2 CAWI (N = 3,795)</t>
  </si>
  <si>
    <t>W1.2 PAPI (N = 5,105)</t>
  </si>
  <si>
    <t>W2_CAWI (N = 5,568)</t>
  </si>
  <si>
    <t>W2_PAPI (N = 2,559)</t>
  </si>
  <si>
    <t>SENSAN CAWI, w1.1 N = 6467</t>
  </si>
  <si>
    <t>k</t>
  </si>
  <si>
    <t>pi_k</t>
  </si>
  <si>
    <t>macPk</t>
  </si>
  <si>
    <t>AvePPk</t>
  </si>
  <si>
    <t>OCCk</t>
  </si>
  <si>
    <t>SP-Ratio</t>
  </si>
  <si>
    <t>param</t>
  </si>
  <si>
    <t>based on post</t>
  </si>
  <si>
    <t>4LC</t>
  </si>
  <si>
    <t>ExtreMiss&amp;0,159&amp;0,12&amp;1&amp;$&gt;$&amp;13,391</t>
  </si>
  <si>
    <t>Indifferent&amp;0,234&amp;0,234&amp;1&amp;$&gt;$&amp;26,043</t>
  </si>
  <si>
    <t>ExtreMiss&amp;0,196&amp;0,238&amp;0,824&amp;19,205&amp;45,621</t>
  </si>
  <si>
    <t>Optimize&amp;0,531&amp;0,489&amp;1&amp;$&gt;$&amp;93,966</t>
  </si>
  <si>
    <t>Indifferent&amp;0,273&amp;0,273&amp;1&amp;$&gt;$&amp;52,414</t>
  </si>
  <si>
    <t>Complex&amp;0,102&amp;0,102&amp;1&amp;$&gt;$&amp;14,538</t>
  </si>
  <si>
    <t>Indiffs&amp;0,171&amp;0,171&amp;1&amp;$&gt;$&amp;24,436</t>
  </si>
  <si>
    <t>Opti&amp;0,531&amp;0,489&amp;1&amp;$&gt;$&amp;69,872</t>
  </si>
  <si>
    <t>Optim&amp;0,501&amp;0,548&amp;0,872&amp;6,785&amp;121,565</t>
  </si>
  <si>
    <t>Indiff&amp;0,306&amp;0,306&amp;1&amp;$&gt;$&amp;67,826</t>
  </si>
  <si>
    <t>ExtreMiss&amp;0,194&amp;0,147&amp;0,843&amp;22,308&amp;32,565</t>
  </si>
  <si>
    <t>Opti&amp;0,575&amp;0,635&amp;0,885&amp;5,688&amp;156,478</t>
  </si>
  <si>
    <t>Indiff&amp;0,29&amp;0,284&amp;1&amp;$&gt;$&amp;70,087</t>
  </si>
  <si>
    <t>ExtreMiss&amp;0,135&amp;0,081&amp;0,825&amp;30,206&amp;19,957</t>
  </si>
  <si>
    <t>Opt&amp;0,613&amp;0,644&amp;0,938&amp;9,551&amp;83,828</t>
  </si>
  <si>
    <t>Indiff&amp;0,305&amp;0,305&amp;1&amp;$&gt;$&amp;39,759</t>
  </si>
  <si>
    <t>Exm&amp;0,082&amp;0,051&amp;0,817&amp;49,98&amp;6,655</t>
  </si>
  <si>
    <t>Optimize&amp;0,607&amp;0,646&amp;0,94&amp;10,143&amp;71,826</t>
  </si>
  <si>
    <t>ExtreMis&amp;0,196&amp;0,238&amp;0,824&amp;19,205&amp;33,923</t>
  </si>
  <si>
    <t>most likely</t>
  </si>
  <si>
    <t>"LC1 Indifferent (29%)";"LC2  Optimize (65%)";"LC3 Complex Satisficers (6%)"</t>
  </si>
  <si>
    <t xml:space="preserve">Complex: </t>
  </si>
  <si>
    <t>1 vs. 2</t>
  </si>
  <si>
    <t>CompvOpt</t>
  </si>
  <si>
    <t>CompvInd</t>
  </si>
  <si>
    <t>Indiff&amp;0,29&amp;0,298&amp;0,973&amp;88,229&amp;66,414</t>
  </si>
  <si>
    <t>Opti&amp;0,648&amp;0,666&amp;0,966&amp;15,434&amp;148,586</t>
  </si>
  <si>
    <t>posterior prob</t>
  </si>
  <si>
    <t>"LC1 Indifferent (29%)";"LC2  ExtreMis (12%)";"LC3 Optimize (59%)"</t>
  </si>
  <si>
    <t>INDvOPT</t>
  </si>
  <si>
    <t>EXMvOPT</t>
  </si>
  <si>
    <t>EXMnIND</t>
  </si>
  <si>
    <t>Complex&amp;0,062&amp;0,036&amp;0,858&amp;91,413&amp;8</t>
  </si>
  <si>
    <t>Opt&amp;0,59&amp;0,636&amp;0,913&amp;7,293&amp;291,783</t>
  </si>
  <si>
    <t>Ind&amp;0,292&amp;0,289&amp;1&amp;&gt;&amp;132,826</t>
  </si>
  <si>
    <t>Exm&amp;0,118&amp;0,075&amp;0,877&amp;53,294&amp;34,348</t>
  </si>
  <si>
    <t>Extremist</t>
  </si>
  <si>
    <t>Wave 1</t>
  </si>
  <si>
    <t>Wave 2</t>
  </si>
  <si>
    <t>Wave 3</t>
  </si>
  <si>
    <t>Softsat</t>
  </si>
  <si>
    <t>Indifferent vs. Softsat</t>
  </si>
  <si>
    <t>Extremist vs. Indifferent</t>
  </si>
  <si>
    <t>Extremist vs. Softsat</t>
  </si>
  <si>
    <t>Web_ (N = 6,467)</t>
  </si>
  <si>
    <t>Paper_ (N = 10,556)</t>
  </si>
  <si>
    <t>Paper</t>
  </si>
  <si>
    <t>Wave 1 Paper_ (N = 5,670)</t>
  </si>
  <si>
    <t>Wave 2 Paper_ (N = 5,105)</t>
  </si>
  <si>
    <t>Wave 3 Paper_ (N = 2,559)</t>
  </si>
  <si>
    <t>Wave 1 Web_ (N = 3,777)</t>
  </si>
  <si>
    <t>Wave 2 Web_ (N = 3,795)</t>
  </si>
  <si>
    <t>Wave 3 Web_ (N = 5,568)</t>
  </si>
  <si>
    <t>Web</t>
  </si>
  <si>
    <t xml:space="preserve">Extremist vs. Softsat </t>
  </si>
  <si>
    <t xml:space="preserve">Indifferent vs. Softsat </t>
  </si>
  <si>
    <t>Softsats&amp;0,623&amp;0,306&amp;0,926&amp;7,572&amp;86,862</t>
  </si>
  <si>
    <t>Indiff&amp;0,261&amp;0,548&amp;1&amp;$&gt;$&amp;34,138</t>
  </si>
  <si>
    <t>ExtreMiss&amp;0,116&amp;0,147&amp;0,885&amp;58,646&amp;9,862</t>
  </si>
  <si>
    <t>BO IND&gt;SOFTSAT (OR = 1.83, SE = 0.26, p &lt;.001)</t>
  </si>
  <si>
    <t>BO Softsat &gt; Ind (OR = 1.43, SE = 0.46, p= .002)</t>
  </si>
  <si>
    <t>Variable 2</t>
  </si>
  <si>
    <t>Age: Young tertile (Ref: Medium)</t>
  </si>
  <si>
    <t>Income: High tertile</t>
  </si>
  <si>
    <t>Income: Low tertile</t>
  </si>
  <si>
    <t>Employment: Missing</t>
  </si>
  <si>
    <t>Employment: Part-time</t>
  </si>
  <si>
    <t>Employment: None</t>
  </si>
  <si>
    <t>Education: Missing</t>
  </si>
  <si>
    <t>Age: Old tertile</t>
  </si>
  <si>
    <t>Education: Tertiary (Ref: Non-tert.)</t>
  </si>
  <si>
    <t>Migration (Ref: No)</t>
  </si>
  <si>
    <t>Household member (Ref: Anchor)</t>
  </si>
  <si>
    <t>Gender: Female (Ref: Not female)</t>
  </si>
  <si>
    <t>Employment: Retired (Ref: Full)</t>
  </si>
  <si>
    <t>Income: Low tertile (Ref: Medium)</t>
  </si>
  <si>
    <t>Income: Missing (Ref: Medium)</t>
  </si>
  <si>
    <t>Panelconsent (Ref: No)</t>
  </si>
  <si>
    <t>Child in household</t>
  </si>
  <si>
    <t>Child in household: Missing (Ref: No child)</t>
  </si>
  <si>
    <t xml:space="preserve">Extremist* vs. Indifferent </t>
  </si>
  <si>
    <t>Extremist* vs. Softsat</t>
  </si>
  <si>
    <t>Extremist* vs. Indifferent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</si>
</sst>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rgb="FF000000"/>
      <name val="Calibri"/>
      <family val="2"/>
      <scheme val="minor"/>
    </font>
    <font>
      <b/>
      <sz val="13"/>
      <color rgb="FF000000"/>
      <name val="Calibri"/>
      <family val="2"/>
    </font>
    <font>
      <sz val="11"/>
      <color theme="0" tint="-0.34998626667073579"/>
      <name val="Calibri"/>
      <family val="2"/>
      <scheme val="minor"/>
    </font>
    <font>
      <b/>
      <sz val="13"/>
      <color rgb="FF000000"/>
      <name val="Calibri"/>
      <family val="2"/>
    </font>
    <font>
      <b/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Source Sans Pro"/>
      <family val="2"/>
    </font>
    <font>
      <sz val="12"/>
      <color rgb="FF000000"/>
      <name val="Source Sans Pro"/>
      <family val="2"/>
    </font>
    <font>
      <b/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BEFCE"/>
        <bgColor indexed="64"/>
      </patternFill>
    </fill>
    <fill>
      <patternFill patternType="solid">
        <fgColor rgb="FFC7EF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8EFCE"/>
        <bgColor indexed="64"/>
      </patternFill>
    </fill>
    <fill>
      <patternFill patternType="solid">
        <fgColor rgb="FFCDEFCE"/>
        <bgColor indexed="64"/>
      </patternFill>
    </fill>
    <fill>
      <patternFill patternType="solid">
        <fgColor rgb="FFD0F0CE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D2F0CE"/>
        <bgColor indexed="64"/>
      </patternFill>
    </fill>
    <fill>
      <patternFill patternType="solid">
        <fgColor rgb="FFCCEFCE"/>
        <bgColor indexed="64"/>
      </patternFill>
    </fill>
    <fill>
      <patternFill patternType="solid">
        <fgColor rgb="FFC9EFCE"/>
        <bgColor indexed="64"/>
      </patternFill>
    </fill>
    <fill>
      <patternFill patternType="solid">
        <fgColor rgb="FFD5F0CD"/>
        <bgColor indexed="64"/>
      </patternFill>
    </fill>
    <fill>
      <patternFill patternType="solid">
        <fgColor rgb="FFCAEFCE"/>
        <bgColor indexed="64"/>
      </patternFill>
    </fill>
    <fill>
      <patternFill patternType="solid">
        <fgColor rgb="FFDFF0CD"/>
        <bgColor indexed="64"/>
      </patternFill>
    </fill>
    <fill>
      <patternFill patternType="solid">
        <fgColor rgb="FFD1F0CE"/>
        <bgColor indexed="64"/>
      </patternFill>
    </fill>
    <fill>
      <patternFill patternType="solid">
        <fgColor rgb="FFE0F0CD"/>
        <bgColor indexed="64"/>
      </patternFill>
    </fill>
    <fill>
      <patternFill patternType="solid">
        <fgColor rgb="FFDAF0CD"/>
        <bgColor indexed="64"/>
      </patternFill>
    </fill>
    <fill>
      <patternFill patternType="solid">
        <fgColor rgb="FFCEEFCE"/>
        <bgColor indexed="64"/>
      </patternFill>
    </fill>
    <fill>
      <patternFill patternType="solid">
        <fgColor rgb="FFDBF0CD"/>
        <bgColor indexed="64"/>
      </patternFill>
    </fill>
    <fill>
      <patternFill patternType="solid">
        <fgColor rgb="FFDDF0CD"/>
        <bgColor indexed="64"/>
      </patternFill>
    </fill>
    <fill>
      <patternFill patternType="solid">
        <fgColor rgb="FFDEF0CD"/>
        <bgColor indexed="64"/>
      </patternFill>
    </fill>
    <fill>
      <patternFill patternType="solid">
        <fgColor rgb="FFF6D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CFCC"/>
        <bgColor indexed="64"/>
      </patternFill>
    </fill>
    <fill>
      <patternFill patternType="solid">
        <fgColor rgb="FFFEEECC"/>
        <bgColor indexed="64"/>
      </patternFill>
    </fill>
    <fill>
      <patternFill patternType="solid">
        <fgColor rgb="FFFD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2" fillId="0" borderId="0" xfId="0" applyFont="1"/>
    <xf numFmtId="0" fontId="2" fillId="2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7" borderId="0" xfId="0" applyFont="1" applyFill="1"/>
    <xf numFmtId="0" fontId="2" fillId="3" borderId="0" xfId="0" applyFont="1" applyFill="1"/>
    <xf numFmtId="0" fontId="2" fillId="5" borderId="0" xfId="0" applyFont="1" applyFill="1"/>
    <xf numFmtId="0" fontId="3" fillId="0" borderId="0" xfId="0" applyFont="1"/>
    <xf numFmtId="0" fontId="2" fillId="13" borderId="0" xfId="0" applyFont="1" applyFill="1"/>
    <xf numFmtId="0" fontId="2" fillId="15" borderId="0" xfId="0" applyFont="1" applyFill="1"/>
    <xf numFmtId="0" fontId="2" fillId="4" borderId="0" xfId="0" applyFont="1" applyFill="1"/>
    <xf numFmtId="0" fontId="4" fillId="0" borderId="0" xfId="0" applyFont="1"/>
    <xf numFmtId="0" fontId="4" fillId="2" borderId="0" xfId="0" applyFont="1" applyFill="1"/>
    <xf numFmtId="0" fontId="4" fillId="6" borderId="0" xfId="0" applyFont="1" applyFill="1"/>
    <xf numFmtId="0" fontId="4" fillId="5" borderId="0" xfId="0" applyFont="1" applyFill="1"/>
    <xf numFmtId="0" fontId="4" fillId="10" borderId="0" xfId="0" applyFont="1" applyFill="1"/>
    <xf numFmtId="0" fontId="2" fillId="28" borderId="0" xfId="0" applyFont="1" applyFill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5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3" borderId="2" xfId="0" applyFill="1" applyBorder="1"/>
    <xf numFmtId="0" fontId="0" fillId="0" borderId="3" xfId="0" applyBorder="1"/>
    <xf numFmtId="0" fontId="0" fillId="20" borderId="2" xfId="0" applyFill="1" applyBorder="1"/>
    <xf numFmtId="0" fontId="0" fillId="17" borderId="2" xfId="0" applyFill="1" applyBorder="1"/>
    <xf numFmtId="0" fontId="0" fillId="6" borderId="2" xfId="0" applyFill="1" applyBorder="1"/>
    <xf numFmtId="3" fontId="0" fillId="0" borderId="0" xfId="0" applyNumberFormat="1"/>
    <xf numFmtId="0" fontId="0" fillId="8" borderId="2" xfId="0" applyFill="1" applyBorder="1"/>
    <xf numFmtId="0" fontId="0" fillId="9" borderId="2" xfId="0" applyFill="1" applyBorder="1"/>
    <xf numFmtId="0" fontId="0" fillId="3" borderId="3" xfId="0" applyFill="1" applyBorder="1"/>
    <xf numFmtId="0" fontId="0" fillId="27" borderId="0" xfId="0" applyFill="1"/>
    <xf numFmtId="0" fontId="0" fillId="26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inden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29" borderId="0" xfId="0" applyFill="1"/>
    <xf numFmtId="0" fontId="0" fillId="29" borderId="2" xfId="0" applyFill="1" applyBorder="1"/>
    <xf numFmtId="0" fontId="0" fillId="0" borderId="0" xfId="0" quotePrefix="1"/>
    <xf numFmtId="0" fontId="10" fillId="0" borderId="0" xfId="0" applyFont="1"/>
    <xf numFmtId="0" fontId="12" fillId="0" borderId="0" xfId="0" applyFont="1"/>
    <xf numFmtId="0" fontId="0" fillId="0" borderId="4" xfId="0" applyBorder="1"/>
    <xf numFmtId="0" fontId="0" fillId="4" borderId="2" xfId="0" applyFill="1" applyBorder="1"/>
    <xf numFmtId="0" fontId="0" fillId="12" borderId="2" xfId="0" applyFill="1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0" fillId="5" borderId="6" xfId="0" applyFill="1" applyBorder="1"/>
    <xf numFmtId="0" fontId="0" fillId="7" borderId="6" xfId="0" applyFill="1" applyBorder="1"/>
    <xf numFmtId="0" fontId="0" fillId="3" borderId="6" xfId="0" applyFill="1" applyBorder="1"/>
    <xf numFmtId="0" fontId="0" fillId="0" borderId="7" xfId="0" applyBorder="1"/>
    <xf numFmtId="0" fontId="0" fillId="25" borderId="0" xfId="0" applyFill="1"/>
    <xf numFmtId="0" fontId="2" fillId="25" borderId="0" xfId="0" applyFont="1" applyFill="1"/>
    <xf numFmtId="0" fontId="0" fillId="0" borderId="8" xfId="0" applyBorder="1"/>
    <xf numFmtId="164" fontId="0" fillId="0" borderId="2" xfId="0" applyNumberFormat="1" applyBorder="1"/>
    <xf numFmtId="164" fontId="2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2" fontId="0" fillId="0" borderId="0" xfId="0" applyNumberFormat="1"/>
    <xf numFmtId="0" fontId="0" fillId="30" borderId="0" xfId="0" applyFill="1"/>
    <xf numFmtId="0" fontId="0" fillId="30" borderId="8" xfId="0" applyFill="1" applyBorder="1"/>
  </cellXfs>
  <cellStyles count="1"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W1.1 CAWI (N = 3,777)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'RR_W1.1_CAWI'!$D$35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('RR_W1.1_CAWI'!$H$35,'RR_W1.1_CAWI'!$M$35,'RR_W1.1_CAWI'!$R$35)</c:f>
              <c:numCache>
                <c:formatCode>General</c:formatCode>
                <c:ptCount val="3"/>
                <c:pt idx="0">
                  <c:v>5.8999999999999997E-2</c:v>
                </c:pt>
                <c:pt idx="1">
                  <c:v>0.16300000000000001</c:v>
                </c:pt>
                <c:pt idx="2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D-42AB-947F-2AE61AC61726}"/>
            </c:ext>
          </c:extLst>
        </c:ser>
        <c:ser>
          <c:idx val="1"/>
          <c:order val="1"/>
          <c:tx>
            <c:strRef>
              <c:f>'RR_W1.1_CAWI'!$D$38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('RR_W1.1_CAWI'!$H$38,'RR_W1.1_CAWI'!$M$38,'RR_W1.1_CAWI'!$R$38)</c:f>
              <c:numCache>
                <c:formatCode>General</c:formatCode>
                <c:ptCount val="3"/>
                <c:pt idx="0">
                  <c:v>0.22</c:v>
                </c:pt>
                <c:pt idx="1">
                  <c:v>8.3000000000000004E-2</c:v>
                </c:pt>
                <c:pt idx="2">
                  <c:v>0.28199999999999997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D-42AB-947F-2AE61AC61726}"/>
            </c:ext>
          </c:extLst>
        </c:ser>
        <c:ser>
          <c:idx val="2"/>
          <c:order val="2"/>
          <c:tx>
            <c:strRef>
              <c:f>'RR_W1.1_CAWI'!$D$41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('RR_W1.1_CAWI'!$H$41,'RR_W1.1_CAWI'!$M$41,'RR_W1.1_CAWI'!$R$41)</c:f>
              <c:numCache>
                <c:formatCode>General</c:formatCode>
                <c:ptCount val="3"/>
                <c:pt idx="0">
                  <c:v>0.121</c:v>
                </c:pt>
                <c:pt idx="1">
                  <c:v>8.2000000000000003E-2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D-42AB-947F-2AE61AC61726}"/>
            </c:ext>
          </c:extLst>
        </c:ser>
        <c:ser>
          <c:idx val="3"/>
          <c:order val="3"/>
          <c:tx>
            <c:strRef>
              <c:f>'RR_W1.1_CAWI'!$D$44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('RR_W1.1_CAWI'!$H$44,'RR_W1.1_CAWI'!$M$44,'RR_W1.1_CAWI'!$R$44)</c:f>
              <c:numCache>
                <c:formatCode>General</c:formatCode>
                <c:ptCount val="3"/>
                <c:pt idx="0">
                  <c:v>0.11700000000000001</c:v>
                </c:pt>
                <c:pt idx="1">
                  <c:v>6.3E-2</c:v>
                </c:pt>
                <c:pt idx="2">
                  <c:v>0.71299999999999997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D-42AB-947F-2AE61AC61726}"/>
            </c:ext>
          </c:extLst>
        </c:ser>
        <c:ser>
          <c:idx val="4"/>
          <c:order val="4"/>
          <c:tx>
            <c:strRef>
              <c:f>'RR_W1.1_CAWI'!$D$47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('RR_W1.1_CAWI'!$H$47,'RR_W1.1_CAWI'!$M$47,'RR_W1.1_CAWI'!$R$47)</c:f>
              <c:numCache>
                <c:formatCode>General</c:formatCode>
                <c:ptCount val="3"/>
                <c:pt idx="0">
                  <c:v>0.496</c:v>
                </c:pt>
                <c:pt idx="1">
                  <c:v>0.35</c:v>
                </c:pt>
                <c:pt idx="2">
                  <c:v>0.46600000000000003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1D-42AB-947F-2AE61AC61726}"/>
            </c:ext>
          </c:extLst>
        </c:ser>
        <c:ser>
          <c:idx val="5"/>
          <c:order val="5"/>
          <c:tx>
            <c:strRef>
              <c:f>'RR_W1.1_CAWI'!$D$50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('RR_W1.1_CAWI'!$H$50,'RR_W1.1_CAWI'!$M$50,'RR_W1.1_CAWI'!$R$50)</c:f>
              <c:numCache>
                <c:formatCode>General</c:formatCode>
                <c:ptCount val="3"/>
                <c:pt idx="0">
                  <c:v>0</c:v>
                </c:pt>
                <c:pt idx="1">
                  <c:v>0.79200000000000004</c:v>
                </c:pt>
                <c:pt idx="2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1D-42AB-947F-2AE61AC61726}"/>
            </c:ext>
          </c:extLst>
        </c:ser>
        <c:ser>
          <c:idx val="6"/>
          <c:order val="6"/>
          <c:tx>
            <c:strRef>
              <c:f>'RR_W1.1_CAWI'!$D$53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('RR_W1.1_CAWI'!$H$53,'RR_W1.1_CAWI'!$M$53,'RR_W1.1_CAWI'!$R$53)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1D-42AB-947F-2AE61AC61726}"/>
            </c:ext>
          </c:extLst>
        </c:ser>
        <c:ser>
          <c:idx val="7"/>
          <c:order val="7"/>
          <c:tx>
            <c:strRef>
              <c:f>'RR_W1.1_CAWI'!$D$56</c:f>
              <c:strCache>
                <c:ptCount val="1"/>
                <c:pt idx="0">
                  <c:v>Break-off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('RR_W1.1_CAWI'!$H$56,'RR_W1.1_CAWI'!$M$56,'RR_W1.1_CAWI'!$R$56)</c:f>
              <c:numCache>
                <c:formatCode>General</c:formatCode>
                <c:ptCount val="3"/>
                <c:pt idx="0">
                  <c:v>3.2000000000000001E-2</c:v>
                </c:pt>
                <c:pt idx="1">
                  <c:v>2.7E-2</c:v>
                </c:pt>
                <c:pt idx="2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1D-42AB-947F-2AE61AC61726}"/>
            </c:ext>
          </c:extLst>
        </c:ser>
        <c:ser>
          <c:idx val="8"/>
          <c:order val="8"/>
          <c:tx>
            <c:strRef>
              <c:f>'RR_W1.1_CAWI'!$D$59</c:f>
              <c:strCache>
                <c:ptCount val="1"/>
                <c:pt idx="0">
                  <c:v>Proportion of speeded items &gt;= 1,5*SD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(31%)</c:v>
              </c:pt>
              <c:pt idx="1">
                <c:v>LC2 Optimize (61%)</c:v>
              </c:pt>
              <c:pt idx="2">
                <c:v>LC3 ExtreMiss (8%)</c:v>
              </c:pt>
            </c:strLit>
          </c:cat>
          <c:val>
            <c:numRef>
              <c:f>('RR_W1.1_CAWI'!$H$59,'RR_W1.1_CAWI'!$M$59,'RR_W1.1_CAWI'!$R$59)</c:f>
              <c:numCache>
                <c:formatCode>General</c:formatCode>
                <c:ptCount val="3"/>
                <c:pt idx="0">
                  <c:v>6.8000000000000005E-2</c:v>
                </c:pt>
                <c:pt idx="1">
                  <c:v>3.7999999999999999E-2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1D-42AB-947F-2AE61AC61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726063"/>
        <c:axId val="1590722703"/>
      </c:barChart>
      <c:catAx>
        <c:axId val="159072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0722703"/>
        <c:crosses val="autoZero"/>
        <c:auto val="1"/>
        <c:lblAlgn val="ctr"/>
        <c:lblOffset val="100"/>
        <c:noMultiLvlLbl val="0"/>
      </c:catAx>
      <c:valAx>
        <c:axId val="15907227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072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W1.1 PAPI</a:t>
            </a:r>
            <a:r>
              <a:rPr lang="en-US" baseline="0"/>
              <a:t> (</a:t>
            </a:r>
            <a:r>
              <a:rPr lang="en-US"/>
              <a:t>N = 5,670)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'RR_W1.1_PAPI'!$D$34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('RR_W1.1_PAPI'!$H$34,'RR_W1.1_PAPI'!$M$34,'RR_W1.1_PAPI'!$R$34)</c:f>
              <c:numCache>
                <c:formatCode>General</c:formatCode>
                <c:ptCount val="3"/>
                <c:pt idx="0">
                  <c:v>9.0999999999999998E-2</c:v>
                </c:pt>
                <c:pt idx="1">
                  <c:v>0.313</c:v>
                </c:pt>
                <c:pt idx="2">
                  <c:v>0.14099999999999999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C-4C4D-BF08-25DA370E24B6}"/>
            </c:ext>
          </c:extLst>
        </c:ser>
        <c:ser>
          <c:idx val="1"/>
          <c:order val="1"/>
          <c:tx>
            <c:strRef>
              <c:f>'RR_W1.1_PAPI'!$D$37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('RR_W1.1_PAPI'!$H$37,'RR_W1.1_PAPI'!$M$37,'RR_W1.1_PAPI'!$R$37)</c:f>
              <c:numCache>
                <c:formatCode>General</c:formatCode>
                <c:ptCount val="3"/>
                <c:pt idx="0">
                  <c:v>0.22700000000000001</c:v>
                </c:pt>
                <c:pt idx="1">
                  <c:v>0.13900000000000001</c:v>
                </c:pt>
                <c:pt idx="2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C-4C4D-BF08-25DA370E24B6}"/>
            </c:ext>
          </c:extLst>
        </c:ser>
        <c:ser>
          <c:idx val="2"/>
          <c:order val="2"/>
          <c:tx>
            <c:strRef>
              <c:f>'RR_W1.1_PAPI'!$D$40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('RR_W1.1_PAPI'!$H$40,'RR_W1.1_PAPI'!$M$40,'RR_W1.1_PAPI'!$R$40)</c:f>
              <c:numCache>
                <c:formatCode>General</c:formatCode>
                <c:ptCount val="3"/>
                <c:pt idx="0">
                  <c:v>0.14499999999999999</c:v>
                </c:pt>
                <c:pt idx="1">
                  <c:v>0.54600000000000004</c:v>
                </c:pt>
                <c:pt idx="2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C-4C4D-BF08-25DA370E24B6}"/>
            </c:ext>
          </c:extLst>
        </c:ser>
        <c:ser>
          <c:idx val="3"/>
          <c:order val="3"/>
          <c:tx>
            <c:strRef>
              <c:f>'RR_W1.1_PAPI'!$D$43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('RR_W1.1_PAPI'!$H$43,'RR_W1.1_PAPI'!$M$43,'RR_W1.1_PAPI'!$R$43)</c:f>
              <c:numCache>
                <c:formatCode>General</c:formatCode>
                <c:ptCount val="3"/>
                <c:pt idx="0">
                  <c:v>0.32300000000000001</c:v>
                </c:pt>
                <c:pt idx="1">
                  <c:v>0.753</c:v>
                </c:pt>
                <c:pt idx="2">
                  <c:v>0.182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C-4C4D-BF08-25DA370E24B6}"/>
            </c:ext>
          </c:extLst>
        </c:ser>
        <c:ser>
          <c:idx val="4"/>
          <c:order val="4"/>
          <c:tx>
            <c:strRef>
              <c:f>'RR_W1.1_PAPI'!$D$46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('RR_W1.1_PAPI'!$H$46,'RR_W1.1_PAPI'!$M$46,'RR_W1.1_PAPI'!$R$46)</c:f>
              <c:numCache>
                <c:formatCode>General</c:formatCode>
                <c:ptCount val="3"/>
                <c:pt idx="0">
                  <c:v>0.499</c:v>
                </c:pt>
                <c:pt idx="1">
                  <c:v>0.29599999999999999</c:v>
                </c:pt>
                <c:pt idx="2">
                  <c:v>0.35699999999999998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1C-4C4D-BF08-25DA370E24B6}"/>
            </c:ext>
          </c:extLst>
        </c:ser>
        <c:ser>
          <c:idx val="5"/>
          <c:order val="5"/>
          <c:tx>
            <c:strRef>
              <c:f>'RR_W1.1_PAPI'!$D$49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('RR_W1.1_PAPI'!$H$49,'RR_W1.1_PAPI'!$M$49,'RR_W1.1_PAPI'!$R$49)</c:f>
              <c:numCache>
                <c:formatCode>General</c:formatCode>
                <c:ptCount val="3"/>
                <c:pt idx="0">
                  <c:v>0</c:v>
                </c:pt>
                <c:pt idx="1">
                  <c:v>0.69699999999999995</c:v>
                </c:pt>
                <c:pt idx="2">
                  <c:v>0.79400000000000004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1C-4C4D-BF08-25DA370E24B6}"/>
            </c:ext>
          </c:extLst>
        </c:ser>
        <c:ser>
          <c:idx val="6"/>
          <c:order val="6"/>
          <c:tx>
            <c:strRef>
              <c:f>'RR_W1.1_PAPI'!$D$52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ExtreMiss (13%)</c:v>
              </c:pt>
              <c:pt idx="2">
                <c:v>LC3 Optimize (58%)</c:v>
              </c:pt>
            </c:strLit>
          </c:cat>
          <c:val>
            <c:numRef>
              <c:f>('RR_W1.1_PAPI'!$H$52,'RR_W1.1_PAPI'!$M$52,'RR_W1.1_PAPI'!$R$52)</c:f>
              <c:numCache>
                <c:formatCode>General</c:formatCode>
                <c:ptCount val="3"/>
                <c:pt idx="0">
                  <c:v>0.98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1C-4C4D-BF08-25DA370E2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969775"/>
        <c:axId val="1580962575"/>
      </c:barChart>
      <c:catAx>
        <c:axId val="15809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0962575"/>
        <c:crosses val="autoZero"/>
        <c:auto val="1"/>
        <c:lblAlgn val="ctr"/>
        <c:lblOffset val="100"/>
        <c:noMultiLvlLbl val="0"/>
      </c:catAx>
      <c:valAx>
        <c:axId val="15809625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096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W1.2 PAPI (N = 5,105)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'RR_W1.2_PAPI'!$D$30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('RR_W1.2_PAPI'!$H$30,'RR_W1.2_PAPI'!$M$30,'RR_W1.2_PAPI'!$R$30)</c:f>
              <c:numCache>
                <c:formatCode>General</c:formatCode>
                <c:ptCount val="3"/>
                <c:pt idx="0">
                  <c:v>6.4000000000000001E-2</c:v>
                </c:pt>
                <c:pt idx="1">
                  <c:v>0.33800000000000002</c:v>
                </c:pt>
                <c:pt idx="2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4AE4-AFD6-D495D9D56E69}"/>
            </c:ext>
          </c:extLst>
        </c:ser>
        <c:ser>
          <c:idx val="1"/>
          <c:order val="1"/>
          <c:tx>
            <c:strRef>
              <c:f>'RR_W1.2_PAPI'!$D$33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('RR_W1.2_PAPI'!$H$33,'RR_W1.2_PAPI'!$M$33,'RR_W1.2_PAPI'!$R$33)</c:f>
              <c:numCache>
                <c:formatCode>General</c:formatCode>
                <c:ptCount val="3"/>
                <c:pt idx="0">
                  <c:v>0.24199999999999999</c:v>
                </c:pt>
                <c:pt idx="1">
                  <c:v>0.08</c:v>
                </c:pt>
                <c:pt idx="2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4-4AE4-AFD6-D495D9D56E69}"/>
            </c:ext>
          </c:extLst>
        </c:ser>
        <c:ser>
          <c:idx val="2"/>
          <c:order val="2"/>
          <c:tx>
            <c:strRef>
              <c:f>'RR_W1.2_PAPI'!$D$36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('RR_W1.2_PAPI'!$H$36,'RR_W1.2_PAPI'!$M$36,'RR_W1.2_PAPI'!$R$36)</c:f>
              <c:numCache>
                <c:formatCode>General</c:formatCode>
                <c:ptCount val="3"/>
                <c:pt idx="0">
                  <c:v>0.19400000000000001</c:v>
                </c:pt>
                <c:pt idx="1">
                  <c:v>0.49299999999999999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4-4AE4-AFD6-D495D9D56E69}"/>
            </c:ext>
          </c:extLst>
        </c:ser>
        <c:ser>
          <c:idx val="3"/>
          <c:order val="3"/>
          <c:tx>
            <c:strRef>
              <c:f>'RR_W1.2_PAPI'!$D$39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('RR_W1.2_PAPI'!$H$39,'RR_W1.2_PAPI'!$M$39,'RR_W1.2_PAPI'!$R$39)</c:f>
              <c:numCache>
                <c:formatCode>General</c:formatCode>
                <c:ptCount val="3"/>
                <c:pt idx="0">
                  <c:v>0.35799999999999998</c:v>
                </c:pt>
                <c:pt idx="1">
                  <c:v>0.70799999999999996</c:v>
                </c:pt>
                <c:pt idx="2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04-4AE4-AFD6-D495D9D56E69}"/>
            </c:ext>
          </c:extLst>
        </c:ser>
        <c:ser>
          <c:idx val="4"/>
          <c:order val="4"/>
          <c:tx>
            <c:strRef>
              <c:f>'RR_W1.2_PAPI'!$D$42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('RR_W1.2_PAPI'!$H$42,'RR_W1.2_PAPI'!$M$42,'RR_W1.2_PAPI'!$R$42)</c:f>
              <c:numCache>
                <c:formatCode>General</c:formatCode>
                <c:ptCount val="3"/>
                <c:pt idx="0">
                  <c:v>0.311</c:v>
                </c:pt>
                <c:pt idx="1">
                  <c:v>0.28299999999999997</c:v>
                </c:pt>
                <c:pt idx="2">
                  <c:v>0.157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04-4AE4-AFD6-D495D9D56E69}"/>
            </c:ext>
          </c:extLst>
        </c:ser>
        <c:ser>
          <c:idx val="5"/>
          <c:order val="5"/>
          <c:tx>
            <c:strRef>
              <c:f>'RR_W1.2_PAPI'!$D$45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('RR_W1.2_PAPI'!$H$45,'RR_W1.2_PAPI'!$M$45,'RR_W1.2_PAPI'!$R$45)</c:f>
              <c:numCache>
                <c:formatCode>General</c:formatCode>
                <c:ptCount val="3"/>
                <c:pt idx="0">
                  <c:v>0</c:v>
                </c:pt>
                <c:pt idx="1">
                  <c:v>0.47599999999999998</c:v>
                </c:pt>
                <c:pt idx="2">
                  <c:v>0.71899999999999997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04-4AE4-AFD6-D495D9D56E69}"/>
            </c:ext>
          </c:extLst>
        </c:ser>
        <c:ser>
          <c:idx val="6"/>
          <c:order val="6"/>
          <c:tx>
            <c:strRef>
              <c:f>'RR_W1.2_PAPI'!$D$48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(30%)</c:v>
              </c:pt>
              <c:pt idx="1">
                <c:v>LC2 ExtreMiss (19%)</c:v>
              </c:pt>
              <c:pt idx="2">
                <c:v>LC3 Optimize (50%)</c:v>
              </c:pt>
            </c:strLit>
          </c:cat>
          <c:val>
            <c:numRef>
              <c:f>('RR_W1.2_PAPI'!$H$48,'RR_W1.2_PAPI'!$M$48,'RR_W1.2_PAPI'!$R$48)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04-4AE4-AFD6-D495D9D56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087344"/>
        <c:axId val="2123088304"/>
      </c:barChart>
      <c:catAx>
        <c:axId val="21230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3088304"/>
        <c:crosses val="autoZero"/>
        <c:auto val="1"/>
        <c:lblAlgn val="ctr"/>
        <c:lblOffset val="100"/>
        <c:noMultiLvlLbl val="0"/>
      </c:catAx>
      <c:valAx>
        <c:axId val="2123088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30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W1.2 CAWI</a:t>
            </a:r>
            <a:r>
              <a:rPr lang="de-DE" baseline="0"/>
              <a:t> (</a:t>
            </a:r>
            <a:r>
              <a:rPr lang="de-DE"/>
              <a:t>N = 3,795)</a:t>
            </a:r>
          </a:p>
          <a:p>
            <a:pPr>
              <a:defRPr/>
            </a:pP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'RR_W1.2_CAWI'!$D$30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('RR_W1.2_CAWI'!$H$30,'RR_W1.2_CAWI'!$M$30,'RR_W1.2_CAWI'!$R$30)</c:f>
              <c:numCache>
                <c:formatCode>General</c:formatCode>
                <c:ptCount val="3"/>
                <c:pt idx="0">
                  <c:v>0.17899999999999999</c:v>
                </c:pt>
                <c:pt idx="1">
                  <c:v>0.22900000000000001</c:v>
                </c:pt>
                <c:pt idx="2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E-465B-8007-DD999E2B7202}"/>
            </c:ext>
          </c:extLst>
        </c:ser>
        <c:ser>
          <c:idx val="1"/>
          <c:order val="1"/>
          <c:tx>
            <c:strRef>
              <c:f>'RR_W1.2_CAWI'!$D$33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('RR_W1.2_CAWI'!$H$33,'RR_W1.2_CAWI'!$M$33,'RR_W1.2_CAWI'!$R$33)</c:f>
              <c:numCache>
                <c:formatCode>General</c:formatCode>
                <c:ptCount val="3"/>
                <c:pt idx="0">
                  <c:v>7.4999999999999997E-2</c:v>
                </c:pt>
                <c:pt idx="1">
                  <c:v>0.17399999999999999</c:v>
                </c:pt>
                <c:pt idx="2">
                  <c:v>0.251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E-465B-8007-DD999E2B7202}"/>
            </c:ext>
          </c:extLst>
        </c:ser>
        <c:ser>
          <c:idx val="2"/>
          <c:order val="2"/>
          <c:tx>
            <c:strRef>
              <c:f>'RR_W1.2_CAWI'!$D$36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('RR_W1.2_CAWI'!$H$36,'RR_W1.2_CAWI'!$M$36,'RR_W1.2_CAWI'!$R$36)</c:f>
              <c:numCache>
                <c:formatCode>General</c:formatCode>
                <c:ptCount val="3"/>
                <c:pt idx="0">
                  <c:v>2.1999999999999999E-2</c:v>
                </c:pt>
                <c:pt idx="1">
                  <c:v>0.5</c:v>
                </c:pt>
                <c:pt idx="2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E-465B-8007-DD999E2B7202}"/>
            </c:ext>
          </c:extLst>
        </c:ser>
        <c:ser>
          <c:idx val="3"/>
          <c:order val="3"/>
          <c:tx>
            <c:strRef>
              <c:f>'RR_W1.2_CAWI'!$D$39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('RR_W1.2_CAWI'!$H$39,'RR_W1.2_CAWI'!$M$39,'RR_W1.2_CAWI'!$R$39)</c:f>
              <c:numCache>
                <c:formatCode>General</c:formatCode>
                <c:ptCount val="3"/>
                <c:pt idx="0">
                  <c:v>0.17399999999999999</c:v>
                </c:pt>
                <c:pt idx="1">
                  <c:v>0.97399999999999998</c:v>
                </c:pt>
                <c:pt idx="2">
                  <c:v>0.28799999999999998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5E-465B-8007-DD999E2B7202}"/>
            </c:ext>
          </c:extLst>
        </c:ser>
        <c:ser>
          <c:idx val="4"/>
          <c:order val="4"/>
          <c:tx>
            <c:strRef>
              <c:f>'RR_W1.2_CAWI'!$D$42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('RR_W1.2_CAWI'!$H$42,'RR_W1.2_CAWI'!$M$42,'RR_W1.2_CAWI'!$R$42)</c:f>
              <c:numCache>
                <c:formatCode>General</c:formatCode>
                <c:ptCount val="3"/>
                <c:pt idx="0">
                  <c:v>0.14899999999999999</c:v>
                </c:pt>
                <c:pt idx="1">
                  <c:v>0.27500000000000002</c:v>
                </c:pt>
                <c:pt idx="2">
                  <c:v>0.27600000000000002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5E-465B-8007-DD999E2B7202}"/>
            </c:ext>
          </c:extLst>
        </c:ser>
        <c:ser>
          <c:idx val="5"/>
          <c:order val="5"/>
          <c:tx>
            <c:strRef>
              <c:f>'RR_W1.2_CAWI'!$D$45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('RR_W1.2_CAWI'!$H$45,'RR_W1.2_CAWI'!$M$45,'RR_W1.2_CAWI'!$R$45)</c:f>
              <c:numCache>
                <c:formatCode>General</c:formatCode>
                <c:ptCount val="3"/>
                <c:pt idx="0">
                  <c:v>0.67800000000000005</c:v>
                </c:pt>
                <c:pt idx="1">
                  <c:v>0.67200000000000004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5E-465B-8007-DD999E2B7202}"/>
            </c:ext>
          </c:extLst>
        </c:ser>
        <c:ser>
          <c:idx val="6"/>
          <c:order val="6"/>
          <c:tx>
            <c:strRef>
              <c:f>'RR_W1.2_CAWI'!$D$48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('RR_W1.2_CAWI'!$H$48,'RR_W1.2_CAWI'!$M$48,'RR_W1.2_CAWI'!$R$48)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5E-465B-8007-DD999E2B7202}"/>
            </c:ext>
          </c:extLst>
        </c:ser>
        <c:ser>
          <c:idx val="7"/>
          <c:order val="7"/>
          <c:tx>
            <c:strRef>
              <c:f>'RR_W1.2_CAWI'!$D$51</c:f>
              <c:strCache>
                <c:ptCount val="1"/>
                <c:pt idx="0">
                  <c:v>Break-off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('RR_W1.2_CAWI'!$H$51,'RR_W1.2_CAWI'!$M$51,'RR_W1.2_CAWI'!$R$51)</c:f>
              <c:numCache>
                <c:formatCode>General</c:formatCode>
                <c:ptCount val="3"/>
                <c:pt idx="0">
                  <c:v>1.9E-2</c:v>
                </c:pt>
                <c:pt idx="1">
                  <c:v>1.7999999999999999E-2</c:v>
                </c:pt>
                <c:pt idx="2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5E-465B-8007-DD999E2B7202}"/>
            </c:ext>
          </c:extLst>
        </c:ser>
        <c:ser>
          <c:idx val="8"/>
          <c:order val="8"/>
          <c:tx>
            <c:strRef>
              <c:f>'RR_W1.2_CAWI'!$D$54</c:f>
              <c:strCache>
                <c:ptCount val="1"/>
                <c:pt idx="0">
                  <c:v>Proportion of speeded items &gt;= 1,5*SD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Optimize (62%)</c:v>
              </c:pt>
              <c:pt idx="1">
                <c:v>LC2 ExtreMiss (12%)</c:v>
              </c:pt>
              <c:pt idx="2">
                <c:v>LC3 Indifferent (26%)</c:v>
              </c:pt>
            </c:strLit>
          </c:cat>
          <c:val>
            <c:numRef>
              <c:f>('RR_W1.2_CAWI'!$H$54,'RR_W1.2_CAWI'!$M$54,'RR_W1.2_CAWI'!$R$54)</c:f>
              <c:numCache>
                <c:formatCode>General</c:formatCode>
                <c:ptCount val="3"/>
                <c:pt idx="0">
                  <c:v>4.2000000000000003E-2</c:v>
                </c:pt>
                <c:pt idx="1">
                  <c:v>7.1999999999999995E-2</c:v>
                </c:pt>
                <c:pt idx="2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5E-465B-8007-DD999E2B7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224336"/>
        <c:axId val="468510879"/>
      </c:barChart>
      <c:catAx>
        <c:axId val="21222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8510879"/>
        <c:crosses val="autoZero"/>
        <c:auto val="1"/>
        <c:lblAlgn val="ctr"/>
        <c:lblOffset val="100"/>
        <c:noMultiLvlLbl val="0"/>
      </c:catAx>
      <c:valAx>
        <c:axId val="468510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22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W2 CAWI (N =</a:t>
            </a:r>
            <a:r>
              <a:rPr lang="de-DE" baseline="0"/>
              <a:t> 5,568; 4LC)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RR_W2_CAWI!$D$30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(RR_W2_CAWI!$H$30,RR_W2_CAWI!$M$30,RR_W2_CAWI!$R$30,RR_W2_CAWI!$W$30)</c:f>
              <c:numCache>
                <c:formatCode>General</c:formatCode>
                <c:ptCount val="4"/>
                <c:pt idx="0">
                  <c:v>6.4000000000000001E-2</c:v>
                </c:pt>
                <c:pt idx="1">
                  <c:v>0.18</c:v>
                </c:pt>
                <c:pt idx="2">
                  <c:v>0.183</c:v>
                </c:pt>
                <c:pt idx="3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5-436F-BEA2-115AA6AB975D}"/>
            </c:ext>
          </c:extLst>
        </c:ser>
        <c:ser>
          <c:idx val="1"/>
          <c:order val="1"/>
          <c:tx>
            <c:strRef>
              <c:f>RR_W2_CAWI!$D$33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(RR_W2_CAWI!$H$33,RR_W2_CAWI!$M$33,RR_W2_CAWI!$R$33,RR_W2_CAWI!$W$33)</c:f>
              <c:numCache>
                <c:formatCode>General</c:formatCode>
                <c:ptCount val="4"/>
                <c:pt idx="0">
                  <c:v>0.40100000000000002</c:v>
                </c:pt>
                <c:pt idx="1">
                  <c:v>4.2999999999999997E-2</c:v>
                </c:pt>
                <c:pt idx="2">
                  <c:v>7.3999999999999996E-2</c:v>
                </c:pt>
                <c:pt idx="3">
                  <c:v>0.36199999999999999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5-436F-BEA2-115AA6AB975D}"/>
            </c:ext>
          </c:extLst>
        </c:ser>
        <c:ser>
          <c:idx val="2"/>
          <c:order val="2"/>
          <c:tx>
            <c:strRef>
              <c:f>RR_W2_CAWI!$D$36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(RR_W2_CAWI!$H$36,RR_W2_CAWI!$M$36,RR_W2_CAWI!$R$36,RR_W2_CAWI!$W$36)</c:f>
              <c:numCache>
                <c:formatCode>General</c:formatCode>
                <c:ptCount val="4"/>
                <c:pt idx="0">
                  <c:v>4.5999999999999999E-2</c:v>
                </c:pt>
                <c:pt idx="1">
                  <c:v>2.5000000000000001E-2</c:v>
                </c:pt>
                <c:pt idx="2">
                  <c:v>0.42299999999999999</c:v>
                </c:pt>
                <c:pt idx="3">
                  <c:v>0.45100000000000001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F5-436F-BEA2-115AA6AB975D}"/>
            </c:ext>
          </c:extLst>
        </c:ser>
        <c:ser>
          <c:idx val="3"/>
          <c:order val="3"/>
          <c:tx>
            <c:strRef>
              <c:f>RR_W2_CAWI!$D$39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(RR_W2_CAWI!$H$39,RR_W2_CAWI!$M$39,RR_W2_CAWI!$R$39,RR_W2_CAWI!$W$39)</c:f>
              <c:numCache>
                <c:formatCode>General</c:formatCode>
                <c:ptCount val="4"/>
                <c:pt idx="0">
                  <c:v>0</c:v>
                </c:pt>
                <c:pt idx="1">
                  <c:v>7.9000000000000001E-2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F5-436F-BEA2-115AA6AB975D}"/>
            </c:ext>
          </c:extLst>
        </c:ser>
        <c:ser>
          <c:idx val="4"/>
          <c:order val="4"/>
          <c:tx>
            <c:strRef>
              <c:f>RR_W2_CAWI!$D$42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(RR_W2_CAWI!$H$42,RR_W2_CAWI!$M$42,RR_W2_CAWI!$R$42,RR_W2_CAWI!$W$42)</c:f>
              <c:numCache>
                <c:formatCode>General</c:formatCode>
                <c:ptCount val="4"/>
                <c:pt idx="0">
                  <c:v>0.40100000000000002</c:v>
                </c:pt>
                <c:pt idx="1">
                  <c:v>0.154</c:v>
                </c:pt>
                <c:pt idx="2">
                  <c:v>0.14199999999999999</c:v>
                </c:pt>
                <c:pt idx="3">
                  <c:v>0.42699999999999999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F5-436F-BEA2-115AA6AB975D}"/>
            </c:ext>
          </c:extLst>
        </c:ser>
        <c:ser>
          <c:idx val="5"/>
          <c:order val="5"/>
          <c:tx>
            <c:strRef>
              <c:f>RR_W2_CAWI!$D$45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(RR_W2_CAWI!$H$45,RR_W2_CAWI!$M$45,RR_W2_CAWI!$R$45,RR_W2_CAWI!$W$45)</c:f>
              <c:numCache>
                <c:formatCode>General</c:formatCode>
                <c:ptCount val="4"/>
                <c:pt idx="0">
                  <c:v>0</c:v>
                </c:pt>
                <c:pt idx="1">
                  <c:v>0.9</c:v>
                </c:pt>
                <c:pt idx="2">
                  <c:v>0.86599999999999999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3F5-436F-BEA2-115AA6AB975D}"/>
            </c:ext>
          </c:extLst>
        </c:ser>
        <c:ser>
          <c:idx val="6"/>
          <c:order val="6"/>
          <c:tx>
            <c:strRef>
              <c:f>RR_W2_CAWI!$D$48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(RR_W2_CAWI!$H$48,RR_W2_CAWI!$M$48,RR_W2_CAWI!$R$48,RR_W2_CAWI!$W$48)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F5-436F-BEA2-115AA6AB975D}"/>
            </c:ext>
          </c:extLst>
        </c:ser>
        <c:ser>
          <c:idx val="7"/>
          <c:order val="7"/>
          <c:tx>
            <c:strRef>
              <c:f>RR_W2_CAWI!$D$51</c:f>
              <c:strCache>
                <c:ptCount val="1"/>
                <c:pt idx="0">
                  <c:v>Break-off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(RR_W2_CAWI!$H$51,RR_W2_CAWI!$M$51,RR_W2_CAWI!$R$51,RR_W2_CAWI!$W$51)</c:f>
              <c:numCache>
                <c:formatCode>General</c:formatCode>
                <c:ptCount val="4"/>
                <c:pt idx="0">
                  <c:v>2.5000000000000001E-2</c:v>
                </c:pt>
                <c:pt idx="1">
                  <c:v>1.4999999999999999E-2</c:v>
                </c:pt>
                <c:pt idx="2">
                  <c:v>2.9000000000000001E-2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3F5-436F-BEA2-115AA6AB975D}"/>
            </c:ext>
          </c:extLst>
        </c:ser>
        <c:ser>
          <c:idx val="8"/>
          <c:order val="8"/>
          <c:tx>
            <c:strRef>
              <c:f>RR_W2_CAWI!$D$54</c:f>
              <c:strCache>
                <c:ptCount val="1"/>
                <c:pt idx="0">
                  <c:v>Proportion of speeded items &gt;= 1,5*SD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LC1 Indifferent (17%)</c:v>
              </c:pt>
              <c:pt idx="1">
                <c:v>LC2 Optimize (53%)</c:v>
              </c:pt>
              <c:pt idx="2">
                <c:v>LC3 ExtreMiss (20%)</c:v>
              </c:pt>
              <c:pt idx="3">
                <c:v>LC4 Complex Satisficers(10%)</c:v>
              </c:pt>
            </c:strLit>
          </c:cat>
          <c:val>
            <c:numRef>
              <c:f>(RR_W2_CAWI!$H$54,RR_W2_CAWI!$M$54,RR_W2_CAWI!$R$54,RR_W2_CAWI!$W$54)</c:f>
              <c:numCache>
                <c:formatCode>General</c:formatCode>
                <c:ptCount val="4"/>
                <c:pt idx="0">
                  <c:v>0.14399999999999999</c:v>
                </c:pt>
                <c:pt idx="1">
                  <c:v>4.2000000000000003E-2</c:v>
                </c:pt>
                <c:pt idx="2">
                  <c:v>3.9E-2</c:v>
                </c:pt>
                <c:pt idx="3">
                  <c:v>0.14299999999999999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3F5-436F-BEA2-115AA6AB9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79376"/>
        <c:axId val="2119980816"/>
      </c:barChart>
      <c:catAx>
        <c:axId val="21199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9980816"/>
        <c:crosses val="autoZero"/>
        <c:auto val="1"/>
        <c:lblAlgn val="ctr"/>
        <c:lblOffset val="100"/>
        <c:noMultiLvlLbl val="0"/>
      </c:catAx>
      <c:valAx>
        <c:axId val="21199808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99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W2 CAWI (N = 5,568)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RR_W2_CAWI!$D$104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(RR_W2_CAWI!$H$104,RR_W2_CAWI!$M$104,RR_W2_CAWI!$R$104)</c:f>
              <c:numCache>
                <c:formatCode>General</c:formatCode>
                <c:ptCount val="3"/>
                <c:pt idx="0">
                  <c:v>0.183</c:v>
                </c:pt>
                <c:pt idx="1">
                  <c:v>6.6000000000000003E-2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A-4353-857E-B3A48F62F580}"/>
            </c:ext>
          </c:extLst>
        </c:ser>
        <c:ser>
          <c:idx val="1"/>
          <c:order val="1"/>
          <c:tx>
            <c:strRef>
              <c:f>RR_W2_CAWI!$D$107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(RR_W2_CAWI!$H$107,RR_W2_CAWI!$M$107,RR_W2_CAWI!$R$107)</c:f>
              <c:numCache>
                <c:formatCode>General</c:formatCode>
                <c:ptCount val="3"/>
                <c:pt idx="0">
                  <c:v>7.3999999999999996E-2</c:v>
                </c:pt>
                <c:pt idx="1">
                  <c:v>0.38600000000000001</c:v>
                </c:pt>
                <c:pt idx="2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A-4353-857E-B3A48F62F580}"/>
            </c:ext>
          </c:extLst>
        </c:ser>
        <c:ser>
          <c:idx val="2"/>
          <c:order val="2"/>
          <c:tx>
            <c:strRef>
              <c:f>RR_W2_CAWI!$D$110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(RR_W2_CAWI!$H$110,RR_W2_CAWI!$M$110,RR_W2_CAWI!$R$110)</c:f>
              <c:numCache>
                <c:formatCode>General</c:formatCode>
                <c:ptCount val="3"/>
                <c:pt idx="0">
                  <c:v>0.42299999999999999</c:v>
                </c:pt>
                <c:pt idx="1">
                  <c:v>0.19700000000000001</c:v>
                </c:pt>
                <c:pt idx="2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A-4353-857E-B3A48F62F580}"/>
            </c:ext>
          </c:extLst>
        </c:ser>
        <c:ser>
          <c:idx val="3"/>
          <c:order val="3"/>
          <c:tx>
            <c:strRef>
              <c:f>RR_W2_CAWI!$D$113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(RR_W2_CAWI!$H$113,RR_W2_CAWI!$M$113,RR_W2_CAWI!$R$113)</c:f>
              <c:numCache>
                <c:formatCode>General</c:formatCode>
                <c:ptCount val="3"/>
                <c:pt idx="0">
                  <c:v>1</c:v>
                </c:pt>
                <c:pt idx="1">
                  <c:v>0.373</c:v>
                </c:pt>
                <c:pt idx="2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6A-4353-857E-B3A48F62F580}"/>
            </c:ext>
          </c:extLst>
        </c:ser>
        <c:ser>
          <c:idx val="4"/>
          <c:order val="4"/>
          <c:tx>
            <c:strRef>
              <c:f>RR_W2_CAWI!$D$116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(RR_W2_CAWI!$H$116,RR_W2_CAWI!$M$116,RR_W2_CAWI!$R$116)</c:f>
              <c:numCache>
                <c:formatCode>General</c:formatCode>
                <c:ptCount val="3"/>
                <c:pt idx="0">
                  <c:v>0.14199999999999999</c:v>
                </c:pt>
                <c:pt idx="1">
                  <c:v>0.41099999999999998</c:v>
                </c:pt>
                <c:pt idx="2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6A-4353-857E-B3A48F62F580}"/>
            </c:ext>
          </c:extLst>
        </c:ser>
        <c:ser>
          <c:idx val="5"/>
          <c:order val="5"/>
          <c:tx>
            <c:strRef>
              <c:f>RR_W2_CAWI!$D$119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(RR_W2_CAWI!$H$119,RR_W2_CAWI!$M$119,RR_W2_CAWI!$R$119)</c:f>
              <c:numCache>
                <c:formatCode>General</c:formatCode>
                <c:ptCount val="3"/>
                <c:pt idx="0">
                  <c:v>0.86599999999999999</c:v>
                </c:pt>
                <c:pt idx="1">
                  <c:v>0</c:v>
                </c:pt>
                <c:pt idx="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6A-4353-857E-B3A48F62F580}"/>
            </c:ext>
          </c:extLst>
        </c:ser>
        <c:ser>
          <c:idx val="6"/>
          <c:order val="6"/>
          <c:tx>
            <c:strRef>
              <c:f>RR_W2_CAWI!$D$122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(RR_W2_CAWI!$H$122,RR_W2_CAWI!$M$122,RR_W2_CAWI!$R$122)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6A-4353-857E-B3A48F62F580}"/>
            </c:ext>
          </c:extLst>
        </c:ser>
        <c:ser>
          <c:idx val="7"/>
          <c:order val="7"/>
          <c:tx>
            <c:strRef>
              <c:f>RR_W2_CAWI!$D$125</c:f>
              <c:strCache>
                <c:ptCount val="1"/>
                <c:pt idx="0">
                  <c:v>Break-off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(RR_W2_CAWI!$H$125,RR_W2_CAWI!$M$125,RR_W2_CAWI!$R$125)</c:f>
              <c:numCache>
                <c:formatCode>General</c:formatCode>
                <c:ptCount val="3"/>
                <c:pt idx="0">
                  <c:v>2.9000000000000001E-2</c:v>
                </c:pt>
                <c:pt idx="1">
                  <c:v>3.5000000000000003E-2</c:v>
                </c:pt>
                <c:pt idx="2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6A-4353-857E-B3A48F62F580}"/>
            </c:ext>
          </c:extLst>
        </c:ser>
        <c:ser>
          <c:idx val="8"/>
          <c:order val="8"/>
          <c:tx>
            <c:strRef>
              <c:f>RR_W2_CAWI!$D$128</c:f>
              <c:strCache>
                <c:ptCount val="1"/>
                <c:pt idx="0">
                  <c:v>Proportion of speeded items &gt;= 1,5*SD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ExtreMiss (20%)</c:v>
              </c:pt>
              <c:pt idx="1">
                <c:v>LC2 Indifferent (27%)</c:v>
              </c:pt>
              <c:pt idx="2">
                <c:v>LC3 Optimize (53%) </c:v>
              </c:pt>
            </c:strLit>
          </c:cat>
          <c:val>
            <c:numRef>
              <c:f>(RR_W2_CAWI!$H$128,RR_W2_CAWI!$M$128,RR_W2_CAWI!$R$128)</c:f>
              <c:numCache>
                <c:formatCode>General</c:formatCode>
                <c:ptCount val="3"/>
                <c:pt idx="0">
                  <c:v>3.9E-2</c:v>
                </c:pt>
                <c:pt idx="1">
                  <c:v>0.14299999999999999</c:v>
                </c:pt>
                <c:pt idx="2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6A-4353-857E-B3A48F62F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36015"/>
        <c:axId val="93841775"/>
      </c:barChart>
      <c:catAx>
        <c:axId val="938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841775"/>
        <c:crosses val="autoZero"/>
        <c:auto val="1"/>
        <c:lblAlgn val="ctr"/>
        <c:lblOffset val="100"/>
        <c:noMultiLvlLbl val="0"/>
      </c:catAx>
      <c:valAx>
        <c:axId val="938417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83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W2 PAPI (N = 2,559)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RR_W2_PAPI!$D$30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(RR_W2_PAPI!$H$30,RR_W2_PAPI!$M$30,RR_W2_PAPI!$R$30)</c:f>
              <c:numCache>
                <c:formatCode>General</c:formatCode>
                <c:ptCount val="3"/>
                <c:pt idx="0">
                  <c:v>0.104</c:v>
                </c:pt>
                <c:pt idx="1">
                  <c:v>0.17799999999999999</c:v>
                </c:pt>
                <c:pt idx="2">
                  <c:v>0.17199999999999999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A-46CD-93E0-01E7B39E902A}"/>
            </c:ext>
          </c:extLst>
        </c:ser>
        <c:ser>
          <c:idx val="1"/>
          <c:order val="1"/>
          <c:tx>
            <c:strRef>
              <c:f>RR_W2_PAPI!$D$33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(RR_W2_PAPI!$H$33,RR_W2_PAPI!$M$33,RR_W2_PAPI!$R$33)</c:f>
              <c:numCache>
                <c:formatCode>General</c:formatCode>
                <c:ptCount val="3"/>
                <c:pt idx="0">
                  <c:v>0.38700000000000001</c:v>
                </c:pt>
                <c:pt idx="1">
                  <c:v>9.4E-2</c:v>
                </c:pt>
                <c:pt idx="2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A-46CD-93E0-01E7B39E902A}"/>
            </c:ext>
          </c:extLst>
        </c:ser>
        <c:ser>
          <c:idx val="2"/>
          <c:order val="2"/>
          <c:tx>
            <c:strRef>
              <c:f>RR_W2_PAPI!$D$36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(RR_W2_PAPI!$H$36,RR_W2_PAPI!$M$36,RR_W2_PAPI!$R$36)</c:f>
              <c:numCache>
                <c:formatCode>General</c:formatCode>
                <c:ptCount val="3"/>
                <c:pt idx="0">
                  <c:v>0.182</c:v>
                </c:pt>
                <c:pt idx="1">
                  <c:v>0.75700000000000001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A-46CD-93E0-01E7B39E902A}"/>
            </c:ext>
          </c:extLst>
        </c:ser>
        <c:ser>
          <c:idx val="3"/>
          <c:order val="3"/>
          <c:tx>
            <c:strRef>
              <c:f>RR_W2_PAPI!$D$39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(RR_W2_PAPI!$H$39,RR_W2_PAPI!$M$39,RR_W2_PAPI!$R$39)</c:f>
              <c:numCache>
                <c:formatCode>General</c:formatCode>
                <c:ptCount val="3"/>
                <c:pt idx="0">
                  <c:v>0.32400000000000001</c:v>
                </c:pt>
                <c:pt idx="1">
                  <c:v>0.59699999999999998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EA-46CD-93E0-01E7B39E902A}"/>
            </c:ext>
          </c:extLst>
        </c:ser>
        <c:ser>
          <c:idx val="4"/>
          <c:order val="4"/>
          <c:tx>
            <c:strRef>
              <c:f>RR_W2_PAPI!$D$42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(RR_W2_PAPI!$H$42,RR_W2_PAPI!$M$42,RR_W2_PAPI!$R$42)</c:f>
              <c:numCache>
                <c:formatCode>General</c:formatCode>
                <c:ptCount val="3"/>
                <c:pt idx="0">
                  <c:v>0.41399999999999998</c:v>
                </c:pt>
                <c:pt idx="1">
                  <c:v>0.22600000000000001</c:v>
                </c:pt>
                <c:pt idx="2">
                  <c:v>0.157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A-46CD-93E0-01E7B39E902A}"/>
            </c:ext>
          </c:extLst>
        </c:ser>
        <c:ser>
          <c:idx val="5"/>
          <c:order val="5"/>
          <c:tx>
            <c:strRef>
              <c:f>RR_W2_PAPI!$D$45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(RR_W2_PAPI!$H$45,RR_W2_PAPI!$M$45,RR_W2_PAPI!$R$45)</c:f>
              <c:numCache>
                <c:formatCode>General</c:formatCode>
                <c:ptCount val="3"/>
                <c:pt idx="0">
                  <c:v>0</c:v>
                </c:pt>
                <c:pt idx="1">
                  <c:v>0.91900000000000004</c:v>
                </c:pt>
                <c:pt idx="2">
                  <c:v>0.88300000000000001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EA-46CD-93E0-01E7B39E902A}"/>
            </c:ext>
          </c:extLst>
        </c:ser>
        <c:ser>
          <c:idx val="6"/>
          <c:order val="6"/>
          <c:tx>
            <c:strRef>
              <c:f>RR_W2_PAPI!$D$48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(23%)</c:v>
              </c:pt>
              <c:pt idx="1">
                <c:v>LC2 ExtreMiss (16%)</c:v>
              </c:pt>
              <c:pt idx="2">
                <c:v>LC3 Optimize (61%)</c:v>
              </c:pt>
            </c:strLit>
          </c:cat>
          <c:val>
            <c:numRef>
              <c:f>(RR_W2_PAPI!$H$48,RR_W2_PAPI!$M$48,RR_W2_PAPI!$R$48)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EA-46CD-93E0-01E7B39E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271807"/>
        <c:axId val="1970390112"/>
      </c:barChart>
      <c:catAx>
        <c:axId val="3162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0390112"/>
        <c:crosses val="autoZero"/>
        <c:auto val="1"/>
        <c:lblAlgn val="ctr"/>
        <c:lblOffset val="100"/>
        <c:noMultiLvlLbl val="0"/>
      </c:catAx>
      <c:valAx>
        <c:axId val="1970390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27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W1.1 CAWI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'RR_W1.1_SENSAN_CAWI'!$E$33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('RR_W1.1_SENSAN_CAWI'!$I$33,'RR_W1.1_SENSAN_CAWI'!$N$33,'RR_W1.1_SENSAN_CAWI'!$S$33)</c:f>
              <c:numCache>
                <c:formatCode>General</c:formatCode>
                <c:ptCount val="3"/>
                <c:pt idx="0">
                  <c:v>4.3999999999999997E-2</c:v>
                </c:pt>
                <c:pt idx="1">
                  <c:v>0.13800000000000001</c:v>
                </c:pt>
                <c:pt idx="2">
                  <c:v>0.36099999999999999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9797-48EC-A513-A283B4B0B3B7}"/>
            </c:ext>
          </c:extLst>
        </c:ser>
        <c:ser>
          <c:idx val="1"/>
          <c:order val="1"/>
          <c:tx>
            <c:strRef>
              <c:f>'RR_W1.1_SENSAN_CAWI'!$E$36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('RR_W1.1_SENSAN_CAWI'!$I$36,'RR_W1.1_SENSAN_CAWI'!$N$36,'RR_W1.1_SENSAN_CAWI'!$S$36)</c:f>
              <c:numCache>
                <c:formatCode>General</c:formatCode>
                <c:ptCount val="3"/>
                <c:pt idx="0">
                  <c:v>0.221</c:v>
                </c:pt>
                <c:pt idx="1">
                  <c:v>9.6000000000000002E-2</c:v>
                </c:pt>
                <c:pt idx="2">
                  <c:v>8.3000000000000004E-2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9797-48EC-A513-A283B4B0B3B7}"/>
            </c:ext>
          </c:extLst>
        </c:ser>
        <c:ser>
          <c:idx val="2"/>
          <c:order val="2"/>
          <c:tx>
            <c:strRef>
              <c:f>'RR_W1.1_SENSAN_CAWI'!$E$39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('RR_W1.1_SENSAN_CAWI'!$I$39,'RR_W1.1_SENSAN_CAWI'!$N$39,'RR_W1.1_SENSAN_CAWI'!$S$39)</c:f>
              <c:numCache>
                <c:formatCode>General</c:formatCode>
                <c:ptCount val="3"/>
                <c:pt idx="0">
                  <c:v>0.127</c:v>
                </c:pt>
                <c:pt idx="1">
                  <c:v>0.14399999999999999</c:v>
                </c:pt>
                <c:pt idx="2">
                  <c:v>5.7000000000000002E-2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9797-48EC-A513-A283B4B0B3B7}"/>
            </c:ext>
          </c:extLst>
        </c:ser>
        <c:ser>
          <c:idx val="3"/>
          <c:order val="3"/>
          <c:tx>
            <c:strRef>
              <c:f>'RR_W1.1_SENSAN_CAWI'!$E$42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('RR_W1.1_SENSAN_CAWI'!$I$42,'RR_W1.1_SENSAN_CAWI'!$N$42,'RR_W1.1_SENSAN_CAWI'!$S$42)</c:f>
              <c:numCache>
                <c:formatCode>General</c:formatCode>
                <c:ptCount val="3"/>
                <c:pt idx="0">
                  <c:v>0.16200000000000001</c:v>
                </c:pt>
                <c:pt idx="1">
                  <c:v>0.16300000000000001</c:v>
                </c:pt>
                <c:pt idx="2">
                  <c:v>0.158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9797-48EC-A513-A283B4B0B3B7}"/>
            </c:ext>
          </c:extLst>
        </c:ser>
        <c:ser>
          <c:idx val="4"/>
          <c:order val="4"/>
          <c:tx>
            <c:strRef>
              <c:f>'RR_W1.1_SENSAN_CAWI'!$E$45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('RR_W1.1_SENSAN_CAWI'!$I$45,'RR_W1.1_SENSAN_CAWI'!$N$45,'RR_W1.1_SENSAN_CAWI'!$S$45)</c:f>
              <c:numCache>
                <c:formatCode>General</c:formatCode>
                <c:ptCount val="3"/>
                <c:pt idx="0">
                  <c:v>0.51100000000000001</c:v>
                </c:pt>
                <c:pt idx="1">
                  <c:v>0.377</c:v>
                </c:pt>
                <c:pt idx="2">
                  <c:v>9.9000000000000005E-2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9797-48EC-A513-A283B4B0B3B7}"/>
            </c:ext>
          </c:extLst>
        </c:ser>
        <c:ser>
          <c:idx val="5"/>
          <c:order val="5"/>
          <c:tx>
            <c:strRef>
              <c:f>'RR_W1.1_SENSAN_CAWI'!$E$48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('RR_W1.1_SENSAN_CAWI'!$I$48,'RR_W1.1_SENSAN_CAWI'!$N$48,'RR_W1.1_SENSAN_CAWI'!$S$48)</c:f>
              <c:numCache>
                <c:formatCode>General</c:formatCode>
                <c:ptCount val="3"/>
                <c:pt idx="0">
                  <c:v>0</c:v>
                </c:pt>
                <c:pt idx="1">
                  <c:v>0.80300000000000005</c:v>
                </c:pt>
                <c:pt idx="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9797-48EC-A513-A283B4B0B3B7}"/>
            </c:ext>
          </c:extLst>
        </c:ser>
        <c:ser>
          <c:idx val="6"/>
          <c:order val="6"/>
          <c:tx>
            <c:strRef>
              <c:f>'RR_W1.1_SENSAN_CAWI'!$E$51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('RR_W1.1_SENSAN_CAWI'!$I$51,'RR_W1.1_SENSAN_CAWI'!$N$51,'RR_W1.1_SENSAN_CAWI'!$S$51)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0.159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9797-48EC-A513-A283B4B0B3B7}"/>
            </c:ext>
          </c:extLst>
        </c:ser>
        <c:ser>
          <c:idx val="7"/>
          <c:order val="7"/>
          <c:tx>
            <c:strRef>
              <c:f>'RR_W1.1_SENSAN_CAWI'!$E$54</c:f>
              <c:strCache>
                <c:ptCount val="1"/>
                <c:pt idx="0">
                  <c:v>Break-off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('RR_W1.1_SENSAN_CAWI'!$I$54,'RR_W1.1_SENSAN_CAWI'!$N$54,'RR_W1.1_SENSAN_CAWI'!$S$54)</c:f>
              <c:numCache>
                <c:formatCode>General</c:formatCode>
                <c:ptCount val="3"/>
                <c:pt idx="0">
                  <c:v>5.0999999999999997E-2</c:v>
                </c:pt>
                <c:pt idx="1">
                  <c:v>5.1999999999999998E-2</c:v>
                </c:pt>
                <c:pt idx="2">
                  <c:v>0.57599999999999996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7-9797-48EC-A513-A283B4B0B3B7}"/>
            </c:ext>
          </c:extLst>
        </c:ser>
        <c:ser>
          <c:idx val="8"/>
          <c:order val="8"/>
          <c:tx>
            <c:strRef>
              <c:f>'RR_W1.1_SENSAN_CAWI'!$E$57</c:f>
              <c:strCache>
                <c:ptCount val="1"/>
                <c:pt idx="0">
                  <c:v>Proportion of speeded items &gt;= 1,5*SD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Optimize (65%)</c:v>
              </c:pt>
              <c:pt idx="2">
                <c:v>LC3 Complex Satisficers (6%)</c:v>
              </c:pt>
            </c:strLit>
          </c:cat>
          <c:val>
            <c:numRef>
              <c:f>('RR_W1.1_SENSAN_CAWI'!$I$57,'RR_W1.1_SENSAN_CAWI'!$N$57,'RR_W1.1_SENSAN_CAWI'!$S$57)</c:f>
              <c:numCache>
                <c:formatCode>General</c:formatCode>
                <c:ptCount val="3"/>
                <c:pt idx="0">
                  <c:v>7.8E-2</c:v>
                </c:pt>
                <c:pt idx="1">
                  <c:v>3.5000000000000003E-2</c:v>
                </c:pt>
                <c:pt idx="2">
                  <c:v>0.122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8-9797-48EC-A513-A283B4B0B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960655"/>
        <c:axId val="1580963535"/>
      </c:barChart>
      <c:catAx>
        <c:axId val="15809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0963535"/>
        <c:crosses val="autoZero"/>
        <c:auto val="1"/>
        <c:lblAlgn val="ctr"/>
        <c:lblOffset val="100"/>
        <c:noMultiLvlLbl val="0"/>
      </c:catAx>
      <c:valAx>
        <c:axId val="15809635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096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 1.1 PAPI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'RR_W1.1_SENSAN_PAPI'!$E$33</c:f>
              <c:strCache>
                <c:ptCount val="1"/>
                <c:pt idx="0">
                  <c:v>Extr: 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('RR_W1.1_SENSAN_PAPI'!$I$33,'RR_W1.1_SENSAN_PAPI'!$N$33,'RR_W1.1_SENSAN_PAPI'!$S$33)</c:f>
              <c:numCache>
                <c:formatCode>General</c:formatCode>
                <c:ptCount val="3"/>
                <c:pt idx="0">
                  <c:v>9.1999999999999998E-2</c:v>
                </c:pt>
                <c:pt idx="1">
                  <c:v>0.32400000000000001</c:v>
                </c:pt>
                <c:pt idx="2">
                  <c:v>0.14299999999999999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8776-44E0-8E14-BDABF590FC3C}"/>
            </c:ext>
          </c:extLst>
        </c:ser>
        <c:ser>
          <c:idx val="1"/>
          <c:order val="1"/>
          <c:tx>
            <c:strRef>
              <c:f>'RR_W1.1_SENSAN_PAPI'!$E$36</c:f>
              <c:strCache>
                <c:ptCount val="1"/>
                <c:pt idx="0">
                  <c:v>Mid: Above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('RR_W1.1_SENSAN_PAPI'!$I$36,'RR_W1.1_SENSAN_PAPI'!$N$36,'RR_W1.1_SENSAN_PAPI'!$S$36)</c:f>
              <c:numCache>
                <c:formatCode>General</c:formatCode>
                <c:ptCount val="3"/>
                <c:pt idx="0">
                  <c:v>0.23200000000000001</c:v>
                </c:pt>
                <c:pt idx="1">
                  <c:v>0.11899999999999999</c:v>
                </c:pt>
                <c:pt idx="2">
                  <c:v>0.115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8776-44E0-8E14-BDABF590FC3C}"/>
            </c:ext>
          </c:extLst>
        </c:ser>
        <c:ser>
          <c:idx val="2"/>
          <c:order val="2"/>
          <c:tx>
            <c:strRef>
              <c:f>'RR_W1.1_SENSAN_PAPI'!$E$39</c:f>
              <c:strCache>
                <c:ptCount val="1"/>
                <c:pt idx="0">
                  <c:v>OQM: Above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('RR_W1.1_SENSAN_PAPI'!$I$39,'RR_W1.1_SENSAN_PAPI'!$N$39,'RR_W1.1_SENSAN_PAPI'!$S$39)</c:f>
              <c:numCache>
                <c:formatCode>General</c:formatCode>
                <c:ptCount val="3"/>
                <c:pt idx="0">
                  <c:v>0.16800000000000001</c:v>
                </c:pt>
                <c:pt idx="1">
                  <c:v>0.56899999999999995</c:v>
                </c:pt>
                <c:pt idx="2">
                  <c:v>6.0999999999999999E-2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8776-44E0-8E14-BDABF590FC3C}"/>
            </c:ext>
          </c:extLst>
        </c:ser>
        <c:ser>
          <c:idx val="3"/>
          <c:order val="3"/>
          <c:tx>
            <c:strRef>
              <c:f>'RR_W1.1_SENSAN_PAPI'!$E$42</c:f>
              <c:strCache>
                <c:ptCount val="1"/>
                <c:pt idx="0">
                  <c:v>INR: Higher than 66th percentile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('RR_W1.1_SENSAN_PAPI'!$I$42,'RR_W1.1_SENSAN_PAPI'!$N$42,'RR_W1.1_SENSAN_PAPI'!$S$42)</c:f>
              <c:numCache>
                <c:formatCode>General</c:formatCode>
                <c:ptCount val="3"/>
                <c:pt idx="0">
                  <c:v>0.32400000000000001</c:v>
                </c:pt>
                <c:pt idx="1">
                  <c:v>0.9</c:v>
                </c:pt>
                <c:pt idx="2">
                  <c:v>0.17299999999999999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8776-44E0-8E14-BDABF590FC3C}"/>
            </c:ext>
          </c:extLst>
        </c:ser>
        <c:ser>
          <c:idx val="4"/>
          <c:order val="4"/>
          <c:tx>
            <c:strRef>
              <c:f>'RR_W1.1_SENSAN_PAPI'!$E$45</c:f>
              <c:strCache>
                <c:ptCount val="1"/>
                <c:pt idx="0">
                  <c:v>ND Weak: Often (&gt;= 50% of grids)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('RR_W1.1_SENSAN_PAPI'!$I$45,'RR_W1.1_SENSAN_PAPI'!$N$45,'RR_W1.1_SENSAN_PAPI'!$S$45)</c:f>
              <c:numCache>
                <c:formatCode>General</c:formatCode>
                <c:ptCount val="3"/>
                <c:pt idx="0">
                  <c:v>0.49199999999999999</c:v>
                </c:pt>
                <c:pt idx="1">
                  <c:v>0.30199999999999999</c:v>
                </c:pt>
                <c:pt idx="2">
                  <c:v>0.36199999999999999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8776-44E0-8E14-BDABF590FC3C}"/>
            </c:ext>
          </c:extLst>
        </c:ser>
        <c:ser>
          <c:idx val="5"/>
          <c:order val="5"/>
          <c:tx>
            <c:strRef>
              <c:f>'RR_W1.1_SENSAN_PAPI'!$E$48</c:f>
              <c:strCache>
                <c:ptCount val="1"/>
                <c:pt idx="0">
                  <c:v>ND Strong: Sometimes (0-50% of grids)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('RR_W1.1_SENSAN_PAPI'!$I$48,'RR_W1.1_SENSAN_PAPI'!$N$48,'RR_W1.1_SENSAN_PAPI'!$S$48)</c:f>
              <c:numCache>
                <c:formatCode>General</c:formatCode>
                <c:ptCount val="3"/>
                <c:pt idx="0">
                  <c:v>0</c:v>
                </c:pt>
                <c:pt idx="1">
                  <c:v>0.64900000000000002</c:v>
                </c:pt>
                <c:pt idx="2">
                  <c:v>0.78300000000000003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8776-44E0-8E14-BDABF590FC3C}"/>
            </c:ext>
          </c:extLst>
        </c:ser>
        <c:ser>
          <c:idx val="6"/>
          <c:order val="6"/>
          <c:tx>
            <c:strRef>
              <c:f>'RR_W1.1_SENSAN_PAPI'!$E$51</c:f>
              <c:strCache>
                <c:ptCount val="1"/>
                <c:pt idx="0">
                  <c:v>ND Strong: Often (&gt;= 50% of grids)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LC1 Indifferent (29%)</c:v>
              </c:pt>
              <c:pt idx="1">
                <c:v>LC2  ExtreMis (12%)</c:v>
              </c:pt>
              <c:pt idx="2">
                <c:v>LC3 Optimize (59%)</c:v>
              </c:pt>
            </c:strLit>
          </c:cat>
          <c:val>
            <c:numRef>
              <c:f>('RR_W1.1_SENSAN_PAPI'!$I$51,'RR_W1.1_SENSAN_PAPI'!$N$51,'RR_W1.1_SENSAN_PAPI'!$S$51)</c:f>
              <c:numCache>
                <c:formatCode>General</c:formatCode>
                <c:ptCount val="3"/>
                <c:pt idx="0">
                  <c:v>0.99199999999999999</c:v>
                </c:pt>
                <c:pt idx="1">
                  <c:v>0</c:v>
                </c:pt>
                <c:pt idx="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8776-44E0-8E14-BDABF590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733839"/>
        <c:axId val="1326729039"/>
      </c:barChart>
      <c:catAx>
        <c:axId val="13267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6729039"/>
        <c:crosses val="autoZero"/>
        <c:auto val="1"/>
        <c:lblAlgn val="ctr"/>
        <c:lblOffset val="100"/>
        <c:noMultiLvlLbl val="0"/>
      </c:catAx>
      <c:valAx>
        <c:axId val="13267290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673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58</xdr:row>
      <xdr:rowOff>175260</xdr:rowOff>
    </xdr:from>
    <xdr:to>
      <xdr:col>15</xdr:col>
      <xdr:colOff>167640</xdr:colOff>
      <xdr:row>79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32579F-B9B9-B9DF-7E66-EC8AC00B0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777240</xdr:colOff>
      <xdr:row>58</xdr:row>
      <xdr:rowOff>83820</xdr:rowOff>
    </xdr:from>
    <xdr:to>
      <xdr:col>14</xdr:col>
      <xdr:colOff>190500</xdr:colOff>
      <xdr:row>78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E6745D-838B-D0BB-5007-BEE44F5EB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180109</xdr:colOff>
      <xdr:row>1</xdr:row>
      <xdr:rowOff>110836</xdr:rowOff>
    </xdr:from>
    <xdr:to>
      <xdr:col>37</xdr:col>
      <xdr:colOff>606848</xdr:colOff>
      <xdr:row>20</xdr:row>
      <xdr:rowOff>173881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48474A-3A04-FBBB-F11D-B5BE09236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2545" y="332509"/>
          <a:ext cx="9113539" cy="3595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100211</xdr:colOff>
      <xdr:row>55</xdr:row>
      <xdr:rowOff>7682</xdr:rowOff>
    </xdr:from>
    <xdr:to>
      <xdr:col>14</xdr:col>
      <xdr:colOff>116541</xdr:colOff>
      <xdr:row>76</xdr:row>
      <xdr:rowOff>105655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44D1D-BD33-398B-9835-50EF99E10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471053</xdr:colOff>
      <xdr:row>56</xdr:row>
      <xdr:rowOff>69273</xdr:rowOff>
    </xdr:from>
    <xdr:to>
      <xdr:col>15</xdr:col>
      <xdr:colOff>221673</xdr:colOff>
      <xdr:row>77</xdr:row>
      <xdr:rowOff>180107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BA420-21B0-A581-CF43-54590DAC2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582632</xdr:colOff>
      <xdr:row>55</xdr:row>
      <xdr:rowOff>71744</xdr:rowOff>
    </xdr:from>
    <xdr:to>
      <xdr:col>15</xdr:col>
      <xdr:colOff>457446</xdr:colOff>
      <xdr:row>74</xdr:row>
      <xdr:rowOff>180601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93196-C32C-9A52-3B6D-C2B13B13B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636443</xdr:colOff>
      <xdr:row>103</xdr:row>
      <xdr:rowOff>65809</xdr:rowOff>
    </xdr:from>
    <xdr:to>
      <xdr:col>28</xdr:col>
      <xdr:colOff>95251</xdr:colOff>
      <xdr:row>121</xdr:row>
      <xdr:rowOff>17317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55FCB5-0233-7AD4-F875-97FE83826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8325</xdr:colOff>
      <xdr:row>0</xdr:row>
      <xdr:rowOff>0</xdr:rowOff>
    </xdr:from>
    <xdr:to>
      <xdr:col>37</xdr:col>
      <xdr:colOff>721019</xdr:colOff>
      <xdr:row>19</xdr:row>
      <xdr:rowOff>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881709-B664-8E45-8ED4-EC585006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7360" y="0"/>
          <a:ext cx="7812741" cy="37564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219634</xdr:colOff>
      <xdr:row>50</xdr:row>
      <xdr:rowOff>76200</xdr:rowOff>
    </xdr:from>
    <xdr:to>
      <xdr:col>17</xdr:col>
      <xdr:colOff>268941</xdr:colOff>
      <xdr:row>71</xdr:row>
      <xdr:rowOff>98611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F8AE8E-6CE8-EBD1-3146-DFB23D239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340658</xdr:colOff>
      <xdr:row>0</xdr:row>
      <xdr:rowOff>44823</xdr:rowOff>
    </xdr:from>
    <xdr:to>
      <xdr:col>35</xdr:col>
      <xdr:colOff>367572</xdr:colOff>
      <xdr:row>15</xdr:row>
      <xdr:rowOff>161372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26188F-59C3-5241-2CB1-EE502DB11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1905" y="44823"/>
          <a:ext cx="7126961" cy="28507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272143</xdr:colOff>
      <xdr:row>60</xdr:row>
      <xdr:rowOff>32657</xdr:rowOff>
    </xdr:from>
    <xdr:to>
      <xdr:col>22</xdr:col>
      <xdr:colOff>707572</xdr:colOff>
      <xdr:row>82</xdr:row>
      <xdr:rowOff>97972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7E23DF-4C1B-8873-3B94-89BF1B7F5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239485</xdr:colOff>
      <xdr:row>2</xdr:row>
      <xdr:rowOff>43543</xdr:rowOff>
    </xdr:from>
    <xdr:to>
      <xdr:col>40</xdr:col>
      <xdr:colOff>642275</xdr:colOff>
      <xdr:row>22</xdr:row>
      <xdr:rowOff>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86EE1-94AB-4577-8B3A-83898AB8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4542" y="446314"/>
          <a:ext cx="9144019" cy="36576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708212</xdr:colOff>
      <xdr:row>54</xdr:row>
      <xdr:rowOff>38594</xdr:rowOff>
    </xdr:from>
    <xdr:to>
      <xdr:col>14</xdr:col>
      <xdr:colOff>346245</xdr:colOff>
      <xdr:row>73</xdr:row>
      <xdr:rowOff>26894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EAB2A3-7729-76BC-92A7-18A17A53B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387928</xdr:colOff>
      <xdr:row>1</xdr:row>
      <xdr:rowOff>138545</xdr:rowOff>
    </xdr:from>
    <xdr:to>
      <xdr:col>37</xdr:col>
      <xdr:colOff>401801</xdr:colOff>
      <xdr:row>19</xdr:row>
      <xdr:rowOff>60967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69B5E6-2F27-8458-7EBC-9E281C238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2073" y="360218"/>
          <a:ext cx="7910964" cy="316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17"/>
  <sheetViews>
    <sheetView zoomScale="70" zoomScaleNormal="70" workbookViewId="0">
      <pane xSplit="1" ySplit="1" topLeftCell="B54" activePane="bottomRight" state="frozen"/>
      <selection pane="topRight"/>
      <selection pane="bottomLeft"/>
      <selection pane="bottomRight" activeCell="J114" sqref="J114"/>
    </sheetView>
  </sheetViews>
  <sheetFormatPr defaultColWidth="11.5546875" defaultRowHeight="14.4" x14ac:dyDescent="0.3"/>
  <sheetData>
    <row r="1" spans="1:35" ht="17.399999999999999" x14ac:dyDescent="0.35">
      <c r="A1" s="1" t="s">
        <v>24</v>
      </c>
    </row>
    <row r="3" spans="1:3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26</v>
      </c>
      <c r="Y3" t="s">
        <v>27</v>
      </c>
    </row>
    <row r="4" spans="1:35" x14ac:dyDescent="0.3">
      <c r="A4">
        <v>1</v>
      </c>
      <c r="B4" s="2" t="s">
        <v>23</v>
      </c>
      <c r="C4">
        <v>9</v>
      </c>
      <c r="D4">
        <v>-14725.505999999999</v>
      </c>
      <c r="E4">
        <v>1.0634999999999999</v>
      </c>
      <c r="F4" t="s">
        <v>23</v>
      </c>
      <c r="G4">
        <v>29469.010999999999</v>
      </c>
      <c r="H4" s="3">
        <v>29534.142</v>
      </c>
      <c r="I4" s="3">
        <v>29525.142</v>
      </c>
      <c r="J4" s="3">
        <v>29496.544000000002</v>
      </c>
      <c r="K4">
        <v>4608.3280000000004</v>
      </c>
      <c r="L4">
        <v>3316.9940000000001</v>
      </c>
      <c r="P4">
        <v>1</v>
      </c>
      <c r="V4" s="3">
        <v>2832.732</v>
      </c>
      <c r="W4" s="3">
        <v>0</v>
      </c>
      <c r="X4">
        <f>I4-$I$11</f>
        <v>2832.732</v>
      </c>
      <c r="Y4" cm="1">
        <f t="array" ref="Y4">ROUND(EXP(-0.5*X4)/SUM(EXP(-0.5*$X$4:$X$7)),3)</f>
        <v>0</v>
      </c>
    </row>
    <row r="5" spans="1:35" x14ac:dyDescent="0.3">
      <c r="A5">
        <v>2</v>
      </c>
      <c r="B5" s="2" t="s">
        <v>23</v>
      </c>
      <c r="C5">
        <v>19</v>
      </c>
      <c r="D5">
        <v>-13351.067999999999</v>
      </c>
      <c r="E5">
        <v>1.0389999999999999</v>
      </c>
      <c r="F5" t="s">
        <v>23</v>
      </c>
      <c r="G5">
        <v>26740.134999999998</v>
      </c>
      <c r="H5" s="4">
        <v>26877.632000000001</v>
      </c>
      <c r="I5" s="8">
        <v>26858.632000000001</v>
      </c>
      <c r="J5" s="9">
        <v>26798.258999999998</v>
      </c>
      <c r="K5">
        <v>1803.663</v>
      </c>
      <c r="L5">
        <v>676.02599999999995</v>
      </c>
      <c r="M5">
        <v>0</v>
      </c>
      <c r="N5">
        <v>0</v>
      </c>
      <c r="O5" s="2">
        <v>1</v>
      </c>
      <c r="P5">
        <v>0.30526999999999999</v>
      </c>
      <c r="Q5">
        <v>0.69472999999999996</v>
      </c>
      <c r="V5" s="8">
        <v>166.222000000002</v>
      </c>
      <c r="W5" s="3">
        <v>0</v>
      </c>
      <c r="X5">
        <f t="shared" ref="X5:X7" si="0">I5-$I$11</f>
        <v>166.22200000000157</v>
      </c>
      <c r="Y5" cm="1">
        <f t="array" ref="Y5">ROUND(EXP(-0.5*X5)/SUM(EXP(-0.5*$X$4:$X$7)),3)</f>
        <v>0</v>
      </c>
    </row>
    <row r="6" spans="1:35" x14ac:dyDescent="0.3">
      <c r="A6" s="42">
        <v>3</v>
      </c>
      <c r="B6" s="43" t="s">
        <v>23</v>
      </c>
      <c r="C6" s="44">
        <v>29</v>
      </c>
      <c r="D6" s="44">
        <v>-13257.677</v>
      </c>
      <c r="E6" s="44">
        <v>1.1380999999999999</v>
      </c>
      <c r="F6" s="44" t="s">
        <v>23</v>
      </c>
      <c r="G6" s="44">
        <v>26573.353999999999</v>
      </c>
      <c r="H6" s="45">
        <v>26783.218000000001</v>
      </c>
      <c r="I6" s="46">
        <v>26754.218000000001</v>
      </c>
      <c r="J6" s="76">
        <v>26662.07</v>
      </c>
      <c r="K6" s="44">
        <v>614.47299999999996</v>
      </c>
      <c r="L6" s="44">
        <v>498.13900000000001</v>
      </c>
      <c r="M6" s="88">
        <v>8.0000000000000004E-4</v>
      </c>
      <c r="N6" s="44">
        <v>8.9999999999999998E-4</v>
      </c>
      <c r="O6" s="43">
        <v>0.88</v>
      </c>
      <c r="P6" s="88">
        <v>0.30526999999999999</v>
      </c>
      <c r="Q6" s="88">
        <v>0.61302000000000001</v>
      </c>
      <c r="R6" s="88">
        <v>8.1710000000000005E-2</v>
      </c>
      <c r="S6" s="44"/>
      <c r="T6" s="44"/>
      <c r="U6" s="44"/>
      <c r="V6" s="46">
        <v>61.808000000000902</v>
      </c>
      <c r="W6" s="48">
        <v>0</v>
      </c>
      <c r="X6" s="44">
        <f t="shared" si="0"/>
        <v>61.808000000000902</v>
      </c>
      <c r="Y6" s="49" cm="1">
        <f t="array" ref="Y6">ROUND(EXP(-0.5*X6)/SUM(EXP(-0.5*$X$4:$X$7)),3)</f>
        <v>0</v>
      </c>
    </row>
    <row r="7" spans="1:35" x14ac:dyDescent="0.3">
      <c r="A7">
        <v>4</v>
      </c>
      <c r="B7" s="2" t="s">
        <v>23</v>
      </c>
      <c r="C7">
        <v>39</v>
      </c>
      <c r="D7">
        <v>-13199.576999999999</v>
      </c>
      <c r="E7">
        <v>1.1334</v>
      </c>
      <c r="F7" t="s">
        <v>23</v>
      </c>
      <c r="G7">
        <v>26477.153999999999</v>
      </c>
      <c r="H7" s="5">
        <v>26759.384999999998</v>
      </c>
      <c r="I7" s="5">
        <v>26720.384999999998</v>
      </c>
      <c r="J7" s="7">
        <v>26596.462</v>
      </c>
      <c r="K7">
        <v>481.75200000000001</v>
      </c>
      <c r="L7">
        <v>385.68</v>
      </c>
      <c r="M7">
        <v>5.0000000000000001E-4</v>
      </c>
      <c r="N7">
        <v>5.9999999999999995E-4</v>
      </c>
      <c r="O7" s="10">
        <v>0.749</v>
      </c>
      <c r="P7">
        <v>0.17934</v>
      </c>
      <c r="Q7">
        <v>0.51054999999999995</v>
      </c>
      <c r="R7">
        <v>8.5099999999999995E-2</v>
      </c>
      <c r="S7">
        <v>0.22500999999999999</v>
      </c>
      <c r="V7" s="5">
        <v>27.974999999998499</v>
      </c>
      <c r="W7" s="3">
        <v>0</v>
      </c>
      <c r="X7">
        <f t="shared" si="0"/>
        <v>27.974999999998545</v>
      </c>
      <c r="Y7" cm="1">
        <f t="array" ref="Y7">ROUND(EXP(-0.5*X7)/SUM(EXP(-0.5*$X$4:$X$7)),3)</f>
        <v>1</v>
      </c>
    </row>
    <row r="8" spans="1:35" x14ac:dyDescent="0.3">
      <c r="A8" s="36">
        <v>5</v>
      </c>
      <c r="B8" s="37" t="s">
        <v>23</v>
      </c>
      <c r="C8" s="36">
        <v>49</v>
      </c>
      <c r="D8" s="36">
        <v>-13144.406000000001</v>
      </c>
      <c r="E8" s="36">
        <v>1.1251</v>
      </c>
      <c r="F8" s="36" t="s">
        <v>23</v>
      </c>
      <c r="G8" s="36">
        <v>26386.812999999998</v>
      </c>
      <c r="H8" s="38">
        <v>26741.41</v>
      </c>
      <c r="I8" s="38">
        <v>26692.41</v>
      </c>
      <c r="J8" s="38">
        <v>26536.712</v>
      </c>
      <c r="K8" s="36">
        <v>478.18200000000002</v>
      </c>
      <c r="L8" s="36">
        <v>278.34300000000002</v>
      </c>
      <c r="M8" s="36">
        <v>1.8200000000000001E-2</v>
      </c>
      <c r="N8" s="36">
        <v>1.89E-2</v>
      </c>
      <c r="O8" s="40">
        <v>0.76300000000000001</v>
      </c>
      <c r="P8" s="36">
        <v>5.0999999999999997E-2</v>
      </c>
      <c r="Q8" s="36">
        <v>0.12852</v>
      </c>
      <c r="R8" s="36">
        <v>0.47375</v>
      </c>
      <c r="S8" s="36">
        <v>0.25427</v>
      </c>
      <c r="T8" s="36">
        <v>9.2460000000000001E-2</v>
      </c>
      <c r="U8" s="36"/>
      <c r="V8" s="38">
        <v>0</v>
      </c>
      <c r="W8" s="38">
        <v>1</v>
      </c>
    </row>
    <row r="9" spans="1:35" x14ac:dyDescent="0.3">
      <c r="A9" s="25">
        <v>6</v>
      </c>
      <c r="B9" s="26" t="s">
        <v>23</v>
      </c>
      <c r="C9" s="25">
        <v>59</v>
      </c>
      <c r="D9" s="25">
        <v>-13120.377</v>
      </c>
      <c r="E9" s="25">
        <v>1.1209</v>
      </c>
      <c r="F9" s="25" t="s">
        <v>23</v>
      </c>
      <c r="G9" s="25">
        <v>26358.754000000001</v>
      </c>
      <c r="H9" s="29">
        <v>26785.719000000001</v>
      </c>
      <c r="I9" s="29">
        <v>26726.719000000001</v>
      </c>
      <c r="J9" s="27">
        <v>26539.244999999999</v>
      </c>
      <c r="K9" s="25">
        <v>277.75</v>
      </c>
      <c r="L9" s="25">
        <v>231.703</v>
      </c>
      <c r="M9" s="25">
        <v>0.1321</v>
      </c>
      <c r="N9" s="25">
        <v>0.13450000000000001</v>
      </c>
      <c r="O9" s="28">
        <v>0.85199999999999998</v>
      </c>
      <c r="P9" s="25">
        <v>2.615E-2</v>
      </c>
      <c r="Q9" s="25">
        <v>0.56652999999999998</v>
      </c>
      <c r="R9" s="25">
        <v>9.5390000000000003E-2</v>
      </c>
      <c r="S9" s="25">
        <v>0.22619</v>
      </c>
      <c r="T9" s="25">
        <v>3.2439999999999997E-2</v>
      </c>
      <c r="U9" s="25">
        <v>5.3310000000000003E-2</v>
      </c>
      <c r="V9" s="29">
        <v>34.309000000001099</v>
      </c>
      <c r="W9" s="30">
        <v>0</v>
      </c>
    </row>
    <row r="11" spans="1:35" x14ac:dyDescent="0.3">
      <c r="H11">
        <f>MIN(H4:H9)</f>
        <v>26741.41</v>
      </c>
      <c r="I11">
        <f>MIN(I4:I9)</f>
        <v>26692.41</v>
      </c>
      <c r="J11">
        <f>MIN(J4:J9)</f>
        <v>26536.712</v>
      </c>
    </row>
    <row r="13" spans="1:35" x14ac:dyDescent="0.3">
      <c r="AC13" s="53"/>
      <c r="AH13" s="67"/>
      <c r="AI13" s="67"/>
    </row>
    <row r="14" spans="1:35" x14ac:dyDescent="0.3">
      <c r="D14" t="str">
        <f>C6&amp;"&amp;"&amp;A6&amp;"&amp;"&amp;D6&amp;"&amp;"&amp;I6&amp;" &amp; "&amp;J6&amp;" &amp;"&amp;H6&amp;" &amp;"&amp;ROUND(N6,3)&amp;"&amp;"&amp;ROUND(MAX(P6,Q6,R6),3)&amp;"&amp;"&amp;ROUND(MIN(P6,Q6,R6),3)&amp;"&amp;"&amp;O6</f>
        <v>29&amp;3&amp;-13257,677&amp;26754,218 &amp; 26662,07 &amp;26783,218 &amp;0,001&amp;0,613&amp;0,082&amp;0,88</v>
      </c>
      <c r="L14" s="67"/>
      <c r="AE14" s="53"/>
    </row>
    <row r="15" spans="1:35" x14ac:dyDescent="0.3">
      <c r="D15" t="s">
        <v>166</v>
      </c>
      <c r="L15" s="67"/>
      <c r="N15" s="67"/>
    </row>
    <row r="16" spans="1:35" ht="23.4" x14ac:dyDescent="0.45">
      <c r="A16" s="73" t="s">
        <v>71</v>
      </c>
      <c r="P16" s="67">
        <f>ROUND(MAX(P5:Q5),3)</f>
        <v>0.69499999999999995</v>
      </c>
      <c r="Q16" s="67">
        <f>ROUND(MIN(P5:Q5),3)</f>
        <v>0.30499999999999999</v>
      </c>
      <c r="AC16" s="53"/>
    </row>
    <row r="17" spans="2:31" x14ac:dyDescent="0.3">
      <c r="P17" s="67">
        <f>ROUND(MAX(P6:R6),3)</f>
        <v>0.61299999999999999</v>
      </c>
      <c r="Q17" s="67">
        <f>ROUND(MIN(P6:R6),3)</f>
        <v>8.2000000000000003E-2</v>
      </c>
      <c r="AE17" s="53"/>
    </row>
    <row r="18" spans="2:31" x14ac:dyDescent="0.3">
      <c r="B18" t="s">
        <v>30</v>
      </c>
      <c r="P18" s="67">
        <f>ROUND(MAX(P7:S7),3)</f>
        <v>0.51100000000000001</v>
      </c>
      <c r="Q18" s="67">
        <f>ROUND(MIN(P7:S7),3)</f>
        <v>8.5000000000000006E-2</v>
      </c>
    </row>
    <row r="19" spans="2:31" x14ac:dyDescent="0.3">
      <c r="B19" t="s">
        <v>31</v>
      </c>
      <c r="P19" s="67">
        <f>ROUND(MAX(P8:T8),3)</f>
        <v>0.47399999999999998</v>
      </c>
      <c r="Q19" s="67">
        <f>ROUND(MIN(P8:T8),3)</f>
        <v>5.0999999999999997E-2</v>
      </c>
    </row>
    <row r="20" spans="2:31" x14ac:dyDescent="0.3">
      <c r="P20">
        <f>ROUND(MAX(P9:U9),3)</f>
        <v>0.56699999999999995</v>
      </c>
      <c r="Q20">
        <f>ROUND(MIN(P9:U9),3)</f>
        <v>2.5999999999999999E-2</v>
      </c>
    </row>
    <row r="21" spans="2:31" x14ac:dyDescent="0.3">
      <c r="B21" s="60"/>
      <c r="C21" s="60">
        <v>1</v>
      </c>
      <c r="D21" s="60">
        <v>2</v>
      </c>
      <c r="E21" s="60">
        <v>3</v>
      </c>
      <c r="F21" s="60"/>
      <c r="L21" s="69"/>
      <c r="AC21" s="53"/>
    </row>
    <row r="22" spans="2:31" x14ac:dyDescent="0.3">
      <c r="B22" s="60"/>
      <c r="C22" s="60"/>
      <c r="D22" s="60"/>
      <c r="E22" s="60"/>
      <c r="F22" s="60"/>
      <c r="L22" s="69"/>
      <c r="AC22" s="53"/>
    </row>
    <row r="23" spans="2:31" x14ac:dyDescent="0.3">
      <c r="B23" s="60">
        <v>1</v>
      </c>
      <c r="C23" s="68">
        <v>1</v>
      </c>
      <c r="D23" s="68">
        <v>0</v>
      </c>
      <c r="E23" s="68">
        <v>0</v>
      </c>
      <c r="F23" s="68"/>
    </row>
    <row r="24" spans="2:31" x14ac:dyDescent="0.3">
      <c r="B24" s="60">
        <v>2</v>
      </c>
      <c r="C24" s="68">
        <v>0</v>
      </c>
      <c r="D24" s="68">
        <v>0.93799999999999994</v>
      </c>
      <c r="E24" s="68">
        <v>6.2E-2</v>
      </c>
      <c r="F24" s="68"/>
    </row>
    <row r="25" spans="2:31" x14ac:dyDescent="0.3">
      <c r="B25" s="60">
        <v>3</v>
      </c>
      <c r="C25" s="68">
        <v>0</v>
      </c>
      <c r="D25" s="68">
        <v>0.183</v>
      </c>
      <c r="E25" s="68">
        <v>0.81699999999999995</v>
      </c>
      <c r="F25" s="68"/>
      <c r="M25" t="s">
        <v>120</v>
      </c>
      <c r="Q25" t="s">
        <v>121</v>
      </c>
      <c r="AC25" s="53"/>
    </row>
    <row r="26" spans="2:31" x14ac:dyDescent="0.3">
      <c r="B26" s="60"/>
      <c r="C26" s="68"/>
      <c r="D26" s="68"/>
      <c r="E26" s="68"/>
      <c r="F26" s="68"/>
      <c r="K26" s="67">
        <f>C23</f>
        <v>1</v>
      </c>
      <c r="L26" t="s">
        <v>133</v>
      </c>
      <c r="M26" t="s">
        <v>122</v>
      </c>
      <c r="N26">
        <v>1153.0001299999999</v>
      </c>
      <c r="O26">
        <v>0.30526999999999999</v>
      </c>
      <c r="Q26">
        <v>1153</v>
      </c>
      <c r="R26">
        <v>0.30526999999999999</v>
      </c>
    </row>
    <row r="27" spans="2:31" x14ac:dyDescent="0.3">
      <c r="K27" s="67">
        <f>D24</f>
        <v>0.93799999999999994</v>
      </c>
      <c r="L27" t="s">
        <v>134</v>
      </c>
      <c r="M27" t="s">
        <v>123</v>
      </c>
      <c r="N27">
        <v>2315.3694</v>
      </c>
      <c r="O27">
        <v>0.61302000000000001</v>
      </c>
      <c r="Q27">
        <v>2431</v>
      </c>
      <c r="R27">
        <v>0.64363000000000004</v>
      </c>
      <c r="AC27" s="53"/>
    </row>
    <row r="28" spans="2:31" x14ac:dyDescent="0.3">
      <c r="K28" s="67">
        <f>E25</f>
        <v>0.81699999999999995</v>
      </c>
      <c r="L28" t="s">
        <v>135</v>
      </c>
      <c r="M28" t="s">
        <v>124</v>
      </c>
      <c r="N28">
        <v>308.63046000000003</v>
      </c>
      <c r="O28">
        <v>8.1710000000000005E-2</v>
      </c>
      <c r="Q28">
        <v>193</v>
      </c>
      <c r="R28">
        <v>5.11E-2</v>
      </c>
      <c r="AC28" s="53"/>
    </row>
    <row r="30" spans="2:31" x14ac:dyDescent="0.3">
      <c r="AC30" s="53"/>
    </row>
    <row r="31" spans="2:31" x14ac:dyDescent="0.3">
      <c r="C31" t="s">
        <v>33</v>
      </c>
      <c r="M31" t="s">
        <v>54</v>
      </c>
      <c r="O31">
        <v>2315.3694</v>
      </c>
      <c r="P31">
        <v>0.61302000000000001</v>
      </c>
      <c r="R31" t="s">
        <v>55</v>
      </c>
      <c r="T31">
        <v>308.63046000000003</v>
      </c>
      <c r="U31">
        <v>8.1710000000000005E-2</v>
      </c>
      <c r="Y31" s="53"/>
      <c r="AC31" s="53"/>
    </row>
    <row r="32" spans="2:31" x14ac:dyDescent="0.3">
      <c r="H32" t="s">
        <v>68</v>
      </c>
      <c r="M32" t="s">
        <v>74</v>
      </c>
      <c r="R32" t="s">
        <v>67</v>
      </c>
    </row>
    <row r="33" spans="2:35" ht="15.6" x14ac:dyDescent="0.3">
      <c r="B33" s="62"/>
      <c r="C33" t="s">
        <v>32</v>
      </c>
      <c r="D33" s="62" t="s">
        <v>34</v>
      </c>
      <c r="G33" t="s">
        <v>53</v>
      </c>
      <c r="H33" s="59" t="s">
        <v>49</v>
      </c>
      <c r="I33" s="59" t="s">
        <v>50</v>
      </c>
      <c r="J33" s="59" t="s">
        <v>51</v>
      </c>
      <c r="K33" s="59" t="s">
        <v>52</v>
      </c>
      <c r="M33" s="59" t="s">
        <v>49</v>
      </c>
      <c r="N33" s="59" t="s">
        <v>50</v>
      </c>
      <c r="O33" s="59" t="s">
        <v>51</v>
      </c>
      <c r="P33" s="59" t="s">
        <v>52</v>
      </c>
      <c r="R33" s="59" t="s">
        <v>49</v>
      </c>
      <c r="S33" s="59" t="s">
        <v>50</v>
      </c>
      <c r="T33" s="59" t="s">
        <v>51</v>
      </c>
      <c r="U33" s="59" t="s">
        <v>52</v>
      </c>
      <c r="W33" s="59"/>
      <c r="X33" s="59"/>
      <c r="Y33" s="59"/>
      <c r="Z33" s="59"/>
      <c r="AC33" s="53"/>
    </row>
    <row r="34" spans="2:35" ht="15.6" x14ac:dyDescent="0.3">
      <c r="D34" s="65" t="s">
        <v>39</v>
      </c>
      <c r="G34">
        <v>1</v>
      </c>
      <c r="H34">
        <v>0.94099999999999995</v>
      </c>
      <c r="I34">
        <v>7.0000000000000001E-3</v>
      </c>
      <c r="J34">
        <v>134.12200000000001</v>
      </c>
      <c r="K34">
        <v>0</v>
      </c>
      <c r="M34">
        <v>0.83699999999999997</v>
      </c>
      <c r="N34">
        <v>0.01</v>
      </c>
      <c r="O34">
        <v>84.256</v>
      </c>
      <c r="P34">
        <v>0</v>
      </c>
      <c r="R34">
        <v>0.77800000000000002</v>
      </c>
      <c r="S34">
        <v>5.2999999999999999E-2</v>
      </c>
      <c r="T34">
        <v>14.749000000000001</v>
      </c>
      <c r="U34">
        <v>0</v>
      </c>
      <c r="AB34" s="53"/>
    </row>
    <row r="35" spans="2:35" ht="15.6" x14ac:dyDescent="0.3">
      <c r="D35" s="65" t="s">
        <v>57</v>
      </c>
      <c r="G35">
        <v>2</v>
      </c>
      <c r="H35">
        <v>5.8999999999999997E-2</v>
      </c>
      <c r="I35">
        <v>7.0000000000000001E-3</v>
      </c>
      <c r="J35">
        <v>8.4060000000000006</v>
      </c>
      <c r="K35">
        <v>0</v>
      </c>
      <c r="M35">
        <v>0.16300000000000001</v>
      </c>
      <c r="N35">
        <v>0.01</v>
      </c>
      <c r="O35">
        <v>16.414999999999999</v>
      </c>
      <c r="P35">
        <v>0</v>
      </c>
      <c r="R35">
        <v>0.222</v>
      </c>
      <c r="S35">
        <v>5.2999999999999999E-2</v>
      </c>
      <c r="T35">
        <v>4.2039999999999997</v>
      </c>
      <c r="U35">
        <v>0</v>
      </c>
    </row>
    <row r="36" spans="2:35" ht="15.6" x14ac:dyDescent="0.3">
      <c r="D36" s="64" t="s">
        <v>35</v>
      </c>
      <c r="AI36" s="53"/>
    </row>
    <row r="37" spans="2:35" ht="15.6" x14ac:dyDescent="0.3">
      <c r="D37" s="65" t="s">
        <v>39</v>
      </c>
      <c r="G37">
        <v>1</v>
      </c>
      <c r="H37">
        <v>0.78</v>
      </c>
      <c r="I37">
        <v>1.2999999999999999E-2</v>
      </c>
      <c r="J37">
        <v>61.963000000000001</v>
      </c>
      <c r="K37">
        <v>0</v>
      </c>
      <c r="M37">
        <v>0.91700000000000004</v>
      </c>
      <c r="N37">
        <v>1.0999999999999999E-2</v>
      </c>
      <c r="O37">
        <v>84.573999999999998</v>
      </c>
      <c r="P37">
        <v>0</v>
      </c>
      <c r="R37">
        <v>0.71799999999999997</v>
      </c>
      <c r="S37">
        <v>7.3999999999999996E-2</v>
      </c>
      <c r="T37">
        <v>9.67</v>
      </c>
      <c r="U37">
        <v>0</v>
      </c>
      <c r="AB37" s="53"/>
      <c r="AI37" s="53"/>
    </row>
    <row r="38" spans="2:35" ht="15.6" x14ac:dyDescent="0.3">
      <c r="D38" s="65" t="s">
        <v>58</v>
      </c>
      <c r="G38">
        <v>2</v>
      </c>
      <c r="H38">
        <v>0.22</v>
      </c>
      <c r="I38">
        <v>1.2999999999999999E-2</v>
      </c>
      <c r="J38">
        <v>17.507000000000001</v>
      </c>
      <c r="K38">
        <v>0</v>
      </c>
      <c r="M38">
        <v>8.3000000000000004E-2</v>
      </c>
      <c r="N38">
        <v>1.0999999999999999E-2</v>
      </c>
      <c r="O38">
        <v>7.6520000000000001</v>
      </c>
      <c r="P38">
        <v>0</v>
      </c>
      <c r="R38">
        <v>0.28199999999999997</v>
      </c>
      <c r="S38">
        <v>7.3999999999999996E-2</v>
      </c>
      <c r="T38">
        <v>3.7890000000000001</v>
      </c>
      <c r="U38">
        <v>0</v>
      </c>
    </row>
    <row r="39" spans="2:35" ht="15.6" x14ac:dyDescent="0.3">
      <c r="B39" s="62"/>
      <c r="C39" s="62"/>
      <c r="D39" s="62" t="s">
        <v>40</v>
      </c>
    </row>
    <row r="40" spans="2:35" ht="15.6" x14ac:dyDescent="0.3">
      <c r="D40" s="63" t="s">
        <v>39</v>
      </c>
      <c r="G40">
        <v>1</v>
      </c>
      <c r="H40">
        <v>0.879</v>
      </c>
      <c r="I40">
        <v>0.01</v>
      </c>
      <c r="J40">
        <v>90.617999999999995</v>
      </c>
      <c r="K40">
        <v>0</v>
      </c>
      <c r="M40">
        <v>0.91800000000000004</v>
      </c>
      <c r="N40">
        <v>1.4999999999999999E-2</v>
      </c>
      <c r="O40">
        <v>60.896999999999998</v>
      </c>
      <c r="P40">
        <v>0</v>
      </c>
      <c r="R40">
        <v>0.5</v>
      </c>
      <c r="S40">
        <v>0.11899999999999999</v>
      </c>
      <c r="T40">
        <v>4.2069999999999999</v>
      </c>
      <c r="U40">
        <v>0</v>
      </c>
      <c r="AB40" s="53"/>
      <c r="AC40" s="53"/>
    </row>
    <row r="41" spans="2:35" ht="15.6" x14ac:dyDescent="0.3">
      <c r="D41" s="65" t="s">
        <v>59</v>
      </c>
      <c r="G41">
        <v>2</v>
      </c>
      <c r="H41">
        <v>0.121</v>
      </c>
      <c r="I41">
        <v>0.01</v>
      </c>
      <c r="J41">
        <v>12.422000000000001</v>
      </c>
      <c r="K41">
        <v>0</v>
      </c>
      <c r="M41">
        <v>8.2000000000000003E-2</v>
      </c>
      <c r="N41">
        <v>1.4999999999999999E-2</v>
      </c>
      <c r="O41">
        <v>5.4349999999999996</v>
      </c>
      <c r="P41">
        <v>0</v>
      </c>
      <c r="R41">
        <v>0.5</v>
      </c>
      <c r="S41">
        <v>0.11899999999999999</v>
      </c>
      <c r="T41">
        <v>4.2050000000000001</v>
      </c>
      <c r="U41">
        <v>0</v>
      </c>
    </row>
    <row r="42" spans="2:35" ht="15.6" x14ac:dyDescent="0.3">
      <c r="D42" s="62" t="s">
        <v>41</v>
      </c>
    </row>
    <row r="43" spans="2:35" ht="15.6" x14ac:dyDescent="0.3">
      <c r="B43" s="63"/>
      <c r="D43" t="s">
        <v>42</v>
      </c>
      <c r="G43">
        <v>1</v>
      </c>
      <c r="H43">
        <v>0.88300000000000001</v>
      </c>
      <c r="I43">
        <v>8.9999999999999993E-3</v>
      </c>
      <c r="J43">
        <v>93.200999999999993</v>
      </c>
      <c r="K43">
        <v>0</v>
      </c>
      <c r="M43">
        <v>0.93700000000000006</v>
      </c>
      <c r="N43">
        <v>2.5999999999999999E-2</v>
      </c>
      <c r="O43">
        <v>36.005000000000003</v>
      </c>
      <c r="P43">
        <v>0</v>
      </c>
      <c r="R43">
        <v>0.28699999999999998</v>
      </c>
      <c r="S43">
        <v>0.19</v>
      </c>
      <c r="T43">
        <v>1.508</v>
      </c>
      <c r="U43">
        <v>0.13200000000000001</v>
      </c>
      <c r="AC43" s="53"/>
    </row>
    <row r="44" spans="2:35" ht="15.6" x14ac:dyDescent="0.3">
      <c r="B44" s="63"/>
      <c r="D44" t="s">
        <v>60</v>
      </c>
      <c r="G44">
        <v>2</v>
      </c>
      <c r="H44">
        <v>0.11700000000000001</v>
      </c>
      <c r="I44">
        <v>8.9999999999999993E-3</v>
      </c>
      <c r="J44">
        <v>12.36</v>
      </c>
      <c r="K44">
        <v>0</v>
      </c>
      <c r="M44">
        <v>6.3E-2</v>
      </c>
      <c r="N44">
        <v>2.5999999999999999E-2</v>
      </c>
      <c r="O44">
        <v>2.423</v>
      </c>
      <c r="P44">
        <v>1.4999999999999999E-2</v>
      </c>
      <c r="R44">
        <v>0.71299999999999997</v>
      </c>
      <c r="S44">
        <v>0.19</v>
      </c>
      <c r="T44">
        <v>3.7429999999999999</v>
      </c>
      <c r="U44">
        <v>0</v>
      </c>
    </row>
    <row r="45" spans="2:35" ht="15.6" x14ac:dyDescent="0.3">
      <c r="D45" s="62" t="s">
        <v>43</v>
      </c>
    </row>
    <row r="46" spans="2:35" ht="15.6" x14ac:dyDescent="0.3">
      <c r="B46" s="63"/>
      <c r="D46" t="s">
        <v>44</v>
      </c>
      <c r="G46">
        <v>1</v>
      </c>
      <c r="H46">
        <v>0.504</v>
      </c>
      <c r="I46">
        <v>1.4999999999999999E-2</v>
      </c>
      <c r="J46">
        <v>33.433999999999997</v>
      </c>
      <c r="K46">
        <v>0</v>
      </c>
      <c r="M46">
        <v>0.65</v>
      </c>
      <c r="N46">
        <v>1.4999999999999999E-2</v>
      </c>
      <c r="O46">
        <v>44.709000000000003</v>
      </c>
      <c r="P46">
        <v>0</v>
      </c>
      <c r="R46">
        <v>0.53400000000000003</v>
      </c>
      <c r="S46">
        <v>7.1999999999999995E-2</v>
      </c>
      <c r="T46">
        <v>7.4279999999999999</v>
      </c>
      <c r="U46">
        <v>0</v>
      </c>
      <c r="AB46" s="53"/>
    </row>
    <row r="47" spans="2:35" ht="15.6" x14ac:dyDescent="0.3">
      <c r="B47" s="63"/>
      <c r="D47" t="s">
        <v>61</v>
      </c>
      <c r="G47">
        <v>2</v>
      </c>
      <c r="H47">
        <v>0.496</v>
      </c>
      <c r="I47">
        <v>1.4999999999999999E-2</v>
      </c>
      <c r="J47">
        <v>32.915999999999997</v>
      </c>
      <c r="K47">
        <v>0</v>
      </c>
      <c r="M47">
        <v>0.35</v>
      </c>
      <c r="N47">
        <v>1.4999999999999999E-2</v>
      </c>
      <c r="O47">
        <v>24.059000000000001</v>
      </c>
      <c r="P47">
        <v>0</v>
      </c>
      <c r="R47">
        <v>0.46600000000000003</v>
      </c>
      <c r="S47">
        <v>7.1999999999999995E-2</v>
      </c>
      <c r="T47">
        <v>6.4930000000000003</v>
      </c>
      <c r="U47">
        <v>0</v>
      </c>
      <c r="AB47" s="53"/>
    </row>
    <row r="48" spans="2:35" ht="15.6" x14ac:dyDescent="0.3">
      <c r="B48" s="62"/>
      <c r="D48" s="62" t="s">
        <v>45</v>
      </c>
    </row>
    <row r="49" spans="2:35" ht="15.6" x14ac:dyDescent="0.3">
      <c r="B49" s="63"/>
      <c r="D49" t="s">
        <v>46</v>
      </c>
      <c r="G49">
        <v>1</v>
      </c>
      <c r="H49">
        <v>1</v>
      </c>
      <c r="I49">
        <v>0</v>
      </c>
      <c r="J49">
        <v>0</v>
      </c>
      <c r="K49">
        <v>1</v>
      </c>
      <c r="M49">
        <v>0.20799999999999999</v>
      </c>
      <c r="N49">
        <v>1.0999999999999999E-2</v>
      </c>
      <c r="O49">
        <v>19.231999999999999</v>
      </c>
      <c r="P49">
        <v>0</v>
      </c>
      <c r="R49">
        <v>0.23</v>
      </c>
      <c r="S49">
        <v>5.5E-2</v>
      </c>
      <c r="T49">
        <v>4.2240000000000002</v>
      </c>
      <c r="U49">
        <v>0</v>
      </c>
      <c r="AC49" s="53"/>
    </row>
    <row r="50" spans="2:35" ht="15.6" x14ac:dyDescent="0.3">
      <c r="B50" s="63"/>
      <c r="D50" t="s">
        <v>63</v>
      </c>
      <c r="G50">
        <v>2</v>
      </c>
      <c r="H50">
        <v>0</v>
      </c>
      <c r="I50">
        <v>0</v>
      </c>
      <c r="J50">
        <v>0</v>
      </c>
      <c r="K50">
        <v>1</v>
      </c>
      <c r="M50">
        <v>0.79200000000000004</v>
      </c>
      <c r="N50">
        <v>1.0999999999999999E-2</v>
      </c>
      <c r="O50">
        <v>73.36</v>
      </c>
      <c r="P50">
        <v>0</v>
      </c>
      <c r="R50">
        <v>0.77</v>
      </c>
      <c r="S50">
        <v>5.5E-2</v>
      </c>
      <c r="T50">
        <v>14.116</v>
      </c>
      <c r="U50">
        <v>0</v>
      </c>
      <c r="AB50" s="53"/>
    </row>
    <row r="51" spans="2:35" ht="15.6" x14ac:dyDescent="0.3">
      <c r="B51" s="63"/>
      <c r="D51" s="62" t="s">
        <v>45</v>
      </c>
    </row>
    <row r="52" spans="2:35" x14ac:dyDescent="0.3">
      <c r="B52" s="66"/>
      <c r="D52" t="s">
        <v>47</v>
      </c>
      <c r="G52">
        <v>1</v>
      </c>
      <c r="H52">
        <v>0</v>
      </c>
      <c r="I52">
        <v>0</v>
      </c>
      <c r="J52">
        <v>0</v>
      </c>
      <c r="K52">
        <v>1</v>
      </c>
      <c r="M52">
        <v>1</v>
      </c>
      <c r="N52">
        <v>0</v>
      </c>
      <c r="O52">
        <v>0</v>
      </c>
      <c r="P52">
        <v>1</v>
      </c>
      <c r="R52">
        <v>1</v>
      </c>
      <c r="S52">
        <v>0</v>
      </c>
      <c r="T52">
        <v>0</v>
      </c>
      <c r="U52">
        <v>1</v>
      </c>
    </row>
    <row r="53" spans="2:35" x14ac:dyDescent="0.3">
      <c r="D53" t="s">
        <v>62</v>
      </c>
      <c r="G53">
        <v>2</v>
      </c>
      <c r="H53">
        <v>1</v>
      </c>
      <c r="I53">
        <v>0</v>
      </c>
      <c r="J53">
        <v>0</v>
      </c>
      <c r="K53">
        <v>1</v>
      </c>
      <c r="M53">
        <v>0</v>
      </c>
      <c r="N53">
        <v>0</v>
      </c>
      <c r="O53">
        <v>0</v>
      </c>
      <c r="P53">
        <v>1</v>
      </c>
      <c r="R53">
        <v>0</v>
      </c>
      <c r="S53">
        <v>0</v>
      </c>
      <c r="T53">
        <v>0</v>
      </c>
      <c r="U53">
        <v>1</v>
      </c>
    </row>
    <row r="54" spans="2:35" x14ac:dyDescent="0.3">
      <c r="D54" s="66" t="s">
        <v>36</v>
      </c>
    </row>
    <row r="55" spans="2:35" x14ac:dyDescent="0.3">
      <c r="B55" s="66"/>
      <c r="D55" t="s">
        <v>37</v>
      </c>
      <c r="G55">
        <v>1</v>
      </c>
      <c r="H55">
        <v>0.96799999999999997</v>
      </c>
      <c r="I55">
        <v>5.0000000000000001E-3</v>
      </c>
      <c r="J55">
        <v>186.24299999999999</v>
      </c>
      <c r="K55">
        <v>0</v>
      </c>
      <c r="M55">
        <v>0.97299999999999998</v>
      </c>
      <c r="N55">
        <v>4.0000000000000001E-3</v>
      </c>
      <c r="O55">
        <v>252.46600000000001</v>
      </c>
      <c r="P55">
        <v>0</v>
      </c>
      <c r="R55">
        <v>0.93200000000000005</v>
      </c>
      <c r="S55">
        <v>2.3E-2</v>
      </c>
      <c r="T55">
        <v>40.393999999999998</v>
      </c>
      <c r="U55">
        <v>0</v>
      </c>
      <c r="AA55" s="53"/>
    </row>
    <row r="56" spans="2:35" x14ac:dyDescent="0.3">
      <c r="D56" t="s">
        <v>38</v>
      </c>
      <c r="G56">
        <v>2</v>
      </c>
      <c r="H56">
        <v>3.2000000000000001E-2</v>
      </c>
      <c r="I56">
        <v>5.0000000000000001E-3</v>
      </c>
      <c r="J56">
        <v>6.1749999999999998</v>
      </c>
      <c r="K56">
        <v>0</v>
      </c>
      <c r="M56">
        <v>2.7E-2</v>
      </c>
      <c r="N56">
        <v>4.0000000000000001E-3</v>
      </c>
      <c r="O56">
        <v>7.0739999999999998</v>
      </c>
      <c r="P56">
        <v>0</v>
      </c>
      <c r="R56">
        <v>6.8000000000000005E-2</v>
      </c>
      <c r="S56">
        <v>2.3E-2</v>
      </c>
      <c r="T56">
        <v>2.9329999999999998</v>
      </c>
      <c r="U56">
        <v>3.0000000000000001E-3</v>
      </c>
    </row>
    <row r="57" spans="2:35" x14ac:dyDescent="0.3">
      <c r="D57" s="66" t="s">
        <v>48</v>
      </c>
    </row>
    <row r="58" spans="2:35" x14ac:dyDescent="0.3">
      <c r="D58" t="s">
        <v>64</v>
      </c>
      <c r="G58">
        <v>1</v>
      </c>
      <c r="H58">
        <v>0.93200000000000005</v>
      </c>
      <c r="I58">
        <v>8.0000000000000002E-3</v>
      </c>
      <c r="J58">
        <v>119.873</v>
      </c>
      <c r="K58">
        <v>0</v>
      </c>
      <c r="M58">
        <v>0.96199999999999997</v>
      </c>
      <c r="N58">
        <v>5.0000000000000001E-3</v>
      </c>
      <c r="O58">
        <v>204.774</v>
      </c>
      <c r="P58">
        <v>0</v>
      </c>
      <c r="R58">
        <v>0.92</v>
      </c>
      <c r="S58">
        <v>2.7E-2</v>
      </c>
      <c r="T58">
        <v>33.604999999999997</v>
      </c>
      <c r="U58">
        <v>0</v>
      </c>
      <c r="AA58" s="53"/>
    </row>
    <row r="59" spans="2:35" x14ac:dyDescent="0.3">
      <c r="D59" t="s">
        <v>65</v>
      </c>
      <c r="G59">
        <v>2</v>
      </c>
      <c r="H59">
        <v>6.8000000000000005E-2</v>
      </c>
      <c r="I59">
        <v>8.0000000000000002E-3</v>
      </c>
      <c r="J59">
        <v>8.6980000000000004</v>
      </c>
      <c r="K59">
        <v>0</v>
      </c>
      <c r="M59">
        <v>3.7999999999999999E-2</v>
      </c>
      <c r="N59">
        <v>5.0000000000000001E-3</v>
      </c>
      <c r="O59">
        <v>8.1289999999999996</v>
      </c>
      <c r="P59">
        <v>0</v>
      </c>
      <c r="R59">
        <v>0.08</v>
      </c>
      <c r="S59">
        <v>2.7E-2</v>
      </c>
      <c r="T59">
        <v>2.91</v>
      </c>
      <c r="U59">
        <v>4.0000000000000001E-3</v>
      </c>
    </row>
    <row r="63" spans="2:35" x14ac:dyDescent="0.3">
      <c r="Q63" s="53"/>
      <c r="AI63" s="53"/>
    </row>
    <row r="64" spans="2:35" x14ac:dyDescent="0.3">
      <c r="AI64" s="53"/>
    </row>
    <row r="66" spans="17:35" x14ac:dyDescent="0.3">
      <c r="Q66" t="s">
        <v>132</v>
      </c>
      <c r="AI66" s="53"/>
    </row>
    <row r="67" spans="17:35" x14ac:dyDescent="0.3">
      <c r="Q67" s="53"/>
      <c r="AI67" s="53"/>
    </row>
    <row r="69" spans="17:35" x14ac:dyDescent="0.3">
      <c r="Q69" t="s">
        <v>102</v>
      </c>
      <c r="R69" t="s">
        <v>100</v>
      </c>
      <c r="AA69" s="53"/>
    </row>
    <row r="70" spans="17:35" x14ac:dyDescent="0.3">
      <c r="Q70" t="s">
        <v>103</v>
      </c>
      <c r="R70" t="s">
        <v>99</v>
      </c>
      <c r="AC70" s="53"/>
    </row>
    <row r="71" spans="17:35" x14ac:dyDescent="0.3">
      <c r="Q71" t="s">
        <v>104</v>
      </c>
      <c r="R71" t="s">
        <v>101</v>
      </c>
    </row>
    <row r="72" spans="17:35" x14ac:dyDescent="0.3">
      <c r="AA72" s="53"/>
    </row>
    <row r="73" spans="17:35" x14ac:dyDescent="0.3">
      <c r="AC73" s="53"/>
    </row>
    <row r="81" spans="4:15" x14ac:dyDescent="0.3">
      <c r="J81" t="s">
        <v>125</v>
      </c>
      <c r="K81" t="s">
        <v>128</v>
      </c>
      <c r="L81" t="s">
        <v>129</v>
      </c>
      <c r="M81" t="s">
        <v>70</v>
      </c>
      <c r="N81" t="s">
        <v>48</v>
      </c>
    </row>
    <row r="82" spans="4:15" x14ac:dyDescent="0.3">
      <c r="J82" t="s">
        <v>126</v>
      </c>
      <c r="K82" t="s">
        <v>130</v>
      </c>
    </row>
    <row r="83" spans="4:15" x14ac:dyDescent="0.3">
      <c r="J83" t="s">
        <v>127</v>
      </c>
      <c r="K83" t="s">
        <v>70</v>
      </c>
      <c r="L83" t="s">
        <v>131</v>
      </c>
      <c r="M83" t="s">
        <v>48</v>
      </c>
      <c r="N83" t="s">
        <v>36</v>
      </c>
      <c r="O83" t="s">
        <v>69</v>
      </c>
    </row>
    <row r="92" spans="4:15" x14ac:dyDescent="0.3">
      <c r="D92">
        <v>9</v>
      </c>
      <c r="E92">
        <v>-14725.505999999999</v>
      </c>
      <c r="F92">
        <v>29534.142</v>
      </c>
      <c r="G92">
        <v>29525.142</v>
      </c>
      <c r="H92">
        <v>29496.544000000002</v>
      </c>
      <c r="M92">
        <v>0</v>
      </c>
    </row>
    <row r="93" spans="4:15" x14ac:dyDescent="0.3">
      <c r="D93">
        <v>19</v>
      </c>
      <c r="E93">
        <v>-13351.067999999999</v>
      </c>
      <c r="F93">
        <v>26877.632000000001</v>
      </c>
      <c r="G93">
        <v>26858.632000000001</v>
      </c>
      <c r="H93">
        <v>26798.258999999998</v>
      </c>
      <c r="I93">
        <v>0</v>
      </c>
      <c r="J93">
        <v>0.69499999999999995</v>
      </c>
      <c r="K93">
        <v>0.30499999999999999</v>
      </c>
      <c r="L93">
        <v>1</v>
      </c>
      <c r="M93">
        <v>0</v>
      </c>
    </row>
    <row r="94" spans="4:15" x14ac:dyDescent="0.3">
      <c r="D94">
        <v>29</v>
      </c>
      <c r="E94">
        <v>-13257.677</v>
      </c>
      <c r="F94">
        <v>26783.218000000001</v>
      </c>
      <c r="G94">
        <v>26754.218000000001</v>
      </c>
      <c r="H94">
        <v>26662.07</v>
      </c>
      <c r="I94">
        <v>8.9999999999999998E-4</v>
      </c>
      <c r="J94">
        <v>0.61299999999999999</v>
      </c>
      <c r="K94">
        <v>8.2000000000000003E-2</v>
      </c>
      <c r="L94">
        <v>0.88</v>
      </c>
      <c r="M94">
        <v>0</v>
      </c>
    </row>
    <row r="95" spans="4:15" x14ac:dyDescent="0.3">
      <c r="D95">
        <v>39</v>
      </c>
      <c r="E95">
        <v>-13199.576999999999</v>
      </c>
      <c r="F95">
        <v>26759.384999999998</v>
      </c>
      <c r="G95">
        <v>26720.384999999998</v>
      </c>
      <c r="H95">
        <v>26596.462</v>
      </c>
      <c r="I95">
        <v>5.9999999999999995E-4</v>
      </c>
      <c r="J95">
        <v>0.51100000000000001</v>
      </c>
      <c r="K95">
        <v>8.5000000000000006E-2</v>
      </c>
      <c r="L95">
        <v>0.749</v>
      </c>
      <c r="M95">
        <v>0</v>
      </c>
    </row>
    <row r="96" spans="4:15" x14ac:dyDescent="0.3">
      <c r="D96">
        <v>49</v>
      </c>
      <c r="E96">
        <v>-13144.406000000001</v>
      </c>
      <c r="F96">
        <v>26741.41</v>
      </c>
      <c r="G96">
        <v>26692.41</v>
      </c>
      <c r="H96">
        <v>26536.712</v>
      </c>
      <c r="I96">
        <v>1.89E-2</v>
      </c>
      <c r="J96">
        <v>0.47399999999999998</v>
      </c>
      <c r="K96">
        <v>5.0999999999999997E-2</v>
      </c>
      <c r="L96">
        <v>0.76300000000000001</v>
      </c>
      <c r="M96">
        <v>1</v>
      </c>
    </row>
    <row r="97" spans="2:13" x14ac:dyDescent="0.3">
      <c r="D97">
        <v>59</v>
      </c>
      <c r="E97">
        <v>-13120.377</v>
      </c>
      <c r="F97">
        <v>26785.719000000001</v>
      </c>
      <c r="G97">
        <v>26726.719000000001</v>
      </c>
      <c r="H97">
        <v>26539.244999999999</v>
      </c>
      <c r="I97">
        <v>0.13450000000000001</v>
      </c>
      <c r="J97">
        <v>0.56699999999999995</v>
      </c>
      <c r="K97">
        <v>2.5999999999999999E-2</v>
      </c>
      <c r="L97">
        <v>0.85199999999999998</v>
      </c>
      <c r="M97">
        <v>0</v>
      </c>
    </row>
    <row r="100" spans="2:13" x14ac:dyDescent="0.3">
      <c r="E100" t="s">
        <v>120</v>
      </c>
      <c r="I100" t="s">
        <v>121</v>
      </c>
    </row>
    <row r="101" spans="2:13" x14ac:dyDescent="0.3">
      <c r="C101">
        <v>1</v>
      </c>
      <c r="D101" t="s">
        <v>133</v>
      </c>
      <c r="E101">
        <v>1153.0001299999999</v>
      </c>
      <c r="F101">
        <v>0.30526999999999999</v>
      </c>
      <c r="H101">
        <v>1153</v>
      </c>
      <c r="I101">
        <v>0.30526999999999999</v>
      </c>
    </row>
    <row r="102" spans="2:13" x14ac:dyDescent="0.3">
      <c r="C102">
        <v>0.93799999999999994</v>
      </c>
      <c r="D102" t="s">
        <v>134</v>
      </c>
      <c r="E102">
        <v>2315.3694</v>
      </c>
      <c r="F102">
        <v>0.61302000000000001</v>
      </c>
      <c r="H102">
        <v>2431</v>
      </c>
      <c r="I102">
        <v>0.64363000000000004</v>
      </c>
    </row>
    <row r="103" spans="2:13" x14ac:dyDescent="0.3">
      <c r="C103">
        <v>0.81699999999999995</v>
      </c>
      <c r="D103" t="s">
        <v>135</v>
      </c>
      <c r="E103">
        <v>308.63046000000003</v>
      </c>
      <c r="F103">
        <v>8.1710000000000005E-2</v>
      </c>
      <c r="H103">
        <v>193</v>
      </c>
      <c r="I103">
        <v>5.11E-2</v>
      </c>
    </row>
    <row r="105" spans="2:13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2:13" x14ac:dyDescent="0.3">
      <c r="B106" t="s">
        <v>133</v>
      </c>
      <c r="C106">
        <v>1</v>
      </c>
      <c r="D106" s="67">
        <f>ROUND(F101,3)</f>
        <v>0.30499999999999999</v>
      </c>
      <c r="E106" s="67">
        <f>ROUND(I101,3)</f>
        <v>0.30499999999999999</v>
      </c>
      <c r="F106">
        <f>ROUND(C101,3)</f>
        <v>1</v>
      </c>
      <c r="G106" t="e">
        <f>ROUND((F106/(1-F106))/(D106/(1-D106)),3)</f>
        <v>#DIV/0!</v>
      </c>
      <c r="H106">
        <f>ROUND(H101/$L$106,3)</f>
        <v>39.759</v>
      </c>
      <c r="L106">
        <f>C6</f>
        <v>29</v>
      </c>
    </row>
    <row r="107" spans="2:13" x14ac:dyDescent="0.3">
      <c r="B107" t="s">
        <v>67</v>
      </c>
      <c r="C107">
        <v>2</v>
      </c>
      <c r="D107" s="67">
        <f t="shared" ref="D107:D108" si="1">ROUND(F102,3)</f>
        <v>0.61299999999999999</v>
      </c>
      <c r="E107" s="67">
        <f t="shared" ref="E107:E108" si="2">ROUND(I102,3)</f>
        <v>0.64400000000000002</v>
      </c>
      <c r="F107">
        <f t="shared" ref="F107:F108" si="3">ROUND(C102,3)</f>
        <v>0.93799999999999994</v>
      </c>
      <c r="G107" s="67">
        <f>ROUND((F107/(1-F107))/(D107/(1-D107)),3)</f>
        <v>9.5510000000000002</v>
      </c>
      <c r="H107">
        <f>ROUND(H102/$L$106,3)</f>
        <v>83.828000000000003</v>
      </c>
    </row>
    <row r="108" spans="2:13" x14ac:dyDescent="0.3">
      <c r="B108" t="s">
        <v>145</v>
      </c>
      <c r="C108">
        <v>3</v>
      </c>
      <c r="D108" s="67">
        <f t="shared" si="1"/>
        <v>8.2000000000000003E-2</v>
      </c>
      <c r="E108" s="67">
        <f t="shared" si="2"/>
        <v>5.0999999999999997E-2</v>
      </c>
      <c r="F108">
        <f t="shared" si="3"/>
        <v>0.81699999999999995</v>
      </c>
      <c r="G108" s="67">
        <f>ROUND((F108/(1-F108))/(D108/(1-D108)),3)</f>
        <v>49.98</v>
      </c>
      <c r="H108">
        <f>ROUND(H103/$L$106,3)</f>
        <v>6.6550000000000002</v>
      </c>
    </row>
    <row r="110" spans="2:13" x14ac:dyDescent="0.3">
      <c r="C110" t="str">
        <f>C106&amp;"&amp;"&amp;D101&amp;"&amp;"&amp;D106&amp;"&amp;"&amp;E106&amp;"&amp;"&amp;F106&amp;"&amp;"&amp;"$&gt;$"&amp;"&amp;"&amp;H106</f>
        <v>1&amp;Indiff&amp;0,305&amp;0,305&amp;1&amp;$&gt;$&amp;39,759</v>
      </c>
      <c r="D110" s="91"/>
    </row>
    <row r="111" spans="2:13" x14ac:dyDescent="0.3">
      <c r="C111" t="str">
        <f>C107&amp;"&amp;"&amp;D102&amp;"&amp;"&amp;D107&amp;"&amp;"&amp;E107&amp;"&amp;"&amp;F107&amp;"&amp;"&amp;G107&amp;"&amp;"&amp;H107</f>
        <v>2&amp;Opt&amp;0,613&amp;0,644&amp;0,938&amp;9,551&amp;83,828</v>
      </c>
      <c r="D111" s="91"/>
    </row>
    <row r="112" spans="2:13" x14ac:dyDescent="0.3">
      <c r="C112" t="str">
        <f>C108&amp;"&amp;"&amp;D103&amp;"&amp;"&amp;D108&amp;"&amp;"&amp;E108&amp;"&amp;"&amp;F108&amp;"&amp;"&amp;G108&amp;"&amp;"&amp;H108</f>
        <v>3&amp;Exm&amp;0,082&amp;0,051&amp;0,817&amp;49,98&amp;6,655</v>
      </c>
      <c r="D112" s="91"/>
    </row>
    <row r="115" spans="3:3" x14ac:dyDescent="0.3">
      <c r="C115" t="s">
        <v>196</v>
      </c>
    </row>
    <row r="116" spans="3:3" x14ac:dyDescent="0.3">
      <c r="C116" t="s">
        <v>197</v>
      </c>
    </row>
    <row r="117" spans="3:3" x14ac:dyDescent="0.3">
      <c r="C117" t="s">
        <v>198</v>
      </c>
    </row>
  </sheetData>
  <autoFilter ref="A3:W9" xr:uid="{00000000-0009-0000-0000-000000000000}"/>
  <conditionalFormatting sqref="B33 B39:D39 D40:D42 B43:B44 D45 B46:B57">
    <cfRule type="containsBlanks" priority="7" stopIfTrue="1">
      <formula>LEN(TRIM(B33))=0</formula>
    </cfRule>
  </conditionalFormatting>
  <conditionalFormatting sqref="C23 D24 E25">
    <cfRule type="cellIs" dxfId="101" priority="8" operator="lessThan">
      <formula>0.8</formula>
    </cfRule>
    <cfRule type="cellIs" dxfId="100" priority="10" operator="between">
      <formula>0.8</formula>
      <formula>0.85</formula>
    </cfRule>
    <cfRule type="cellIs" dxfId="99" priority="11" operator="greaterThanOrEqual">
      <formula>0.85</formula>
    </cfRule>
  </conditionalFormatting>
  <conditionalFormatting sqref="C23 D24">
    <cfRule type="cellIs" dxfId="98" priority="9" operator="equal">
      <formula>1</formula>
    </cfRule>
  </conditionalFormatting>
  <conditionalFormatting sqref="D33:D38">
    <cfRule type="containsBlanks" priority="6" stopIfTrue="1">
      <formula>LEN(TRIM(D33))=0</formula>
    </cfRule>
  </conditionalFormatting>
  <conditionalFormatting sqref="D48">
    <cfRule type="containsBlanks" priority="5" stopIfTrue="1">
      <formula>LEN(TRIM(D48))=0</formula>
    </cfRule>
  </conditionalFormatting>
  <conditionalFormatting sqref="D51">
    <cfRule type="containsBlanks" priority="4" stopIfTrue="1">
      <formula>LEN(TRIM(D51))=0</formula>
    </cfRule>
  </conditionalFormatting>
  <conditionalFormatting sqref="D54:D58">
    <cfRule type="containsBlanks" priority="3" stopIfTrue="1">
      <formula>LEN(TRIM(D54))=0</formula>
    </cfRule>
  </conditionalFormatting>
  <conditionalFormatting sqref="H4:J11">
    <cfRule type="duplicateValues" dxfId="97" priority="1"/>
  </conditionalFormatting>
  <conditionalFormatting sqref="I4:I11">
    <cfRule type="duplicateValues" dxfId="96" priority="2"/>
  </conditionalFormatting>
  <conditionalFormatting sqref="P4:P9">
    <cfRule type="cellIs" dxfId="95" priority="25" stopIfTrue="1" operator="between">
      <formula>0</formula>
      <formula>0.05</formula>
    </cfRule>
  </conditionalFormatting>
  <conditionalFormatting sqref="Q5:Q9">
    <cfRule type="cellIs" dxfId="94" priority="26" stopIfTrue="1" operator="between">
      <formula>0</formula>
      <formula>0.05</formula>
    </cfRule>
  </conditionalFormatting>
  <conditionalFormatting sqref="R6:R9">
    <cfRule type="cellIs" dxfId="93" priority="27" stopIfTrue="1" operator="between">
      <formula>0</formula>
      <formula>0.05</formula>
    </cfRule>
  </conditionalFormatting>
  <conditionalFormatting sqref="S7:S9">
    <cfRule type="cellIs" dxfId="92" priority="28" stopIfTrue="1" operator="between">
      <formula>0</formula>
      <formula>0.05</formula>
    </cfRule>
  </conditionalFormatting>
  <conditionalFormatting sqref="T8:T9">
    <cfRule type="cellIs" dxfId="91" priority="29" stopIfTrue="1" operator="between">
      <formula>0</formula>
      <formula>0.05</formula>
    </cfRule>
  </conditionalFormatting>
  <conditionalFormatting sqref="U9">
    <cfRule type="cellIs" dxfId="90" priority="30" stopIfTrue="1" operator="between">
      <formula>0</formula>
      <formula>0.05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17"/>
  <sheetViews>
    <sheetView zoomScale="85" zoomScaleNormal="85" workbookViewId="0">
      <pane xSplit="1" ySplit="1" topLeftCell="I45" activePane="bottomRight" state="frozen"/>
      <selection pane="topRight"/>
      <selection pane="bottomLeft"/>
      <selection pane="bottomRight" activeCell="S18" sqref="S18"/>
    </sheetView>
  </sheetViews>
  <sheetFormatPr defaultColWidth="11.5546875" defaultRowHeight="14.4" x14ac:dyDescent="0.3"/>
  <sheetData>
    <row r="1" spans="1:25" ht="17.399999999999999" x14ac:dyDescent="0.35">
      <c r="A1" s="1" t="s">
        <v>167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26</v>
      </c>
      <c r="Y3" t="s">
        <v>27</v>
      </c>
    </row>
    <row r="4" spans="1:25" x14ac:dyDescent="0.3">
      <c r="A4">
        <v>1</v>
      </c>
      <c r="B4" s="2" t="s">
        <v>23</v>
      </c>
      <c r="C4">
        <v>7</v>
      </c>
      <c r="D4">
        <v>-21723.335999999999</v>
      </c>
      <c r="E4">
        <v>1.0572999999999999</v>
      </c>
      <c r="F4" t="s">
        <v>23</v>
      </c>
      <c r="G4">
        <v>43460.671999999999</v>
      </c>
      <c r="H4" s="3">
        <v>43514.173000000003</v>
      </c>
      <c r="I4" s="3">
        <v>43507.173000000003</v>
      </c>
      <c r="J4" s="3">
        <v>43484.928999999996</v>
      </c>
      <c r="K4">
        <v>4913.29</v>
      </c>
      <c r="L4">
        <v>4544.1149999999998</v>
      </c>
      <c r="P4">
        <v>1</v>
      </c>
      <c r="V4" s="3">
        <v>4118.2860000000001</v>
      </c>
      <c r="W4" s="3">
        <v>0</v>
      </c>
      <c r="X4">
        <f>I4-$I$11</f>
        <v>4118.2860000000001</v>
      </c>
      <c r="Y4" cm="1">
        <f t="array" ref="Y4">ROUND(EXP(-0.5*X4)/SUM(EXP(-0.5*$X$4:$X$7)),3)</f>
        <v>0</v>
      </c>
    </row>
    <row r="5" spans="1:25" x14ac:dyDescent="0.3">
      <c r="A5">
        <v>2</v>
      </c>
      <c r="B5" s="2" t="s">
        <v>23</v>
      </c>
      <c r="C5">
        <v>15</v>
      </c>
      <c r="D5">
        <v>-19876.166000000001</v>
      </c>
      <c r="E5">
        <v>1.0456000000000001</v>
      </c>
      <c r="F5" t="s">
        <v>23</v>
      </c>
      <c r="G5">
        <v>39782.332000000002</v>
      </c>
      <c r="H5" s="11">
        <v>39896.976000000002</v>
      </c>
      <c r="I5" s="11">
        <v>39881.976000000002</v>
      </c>
      <c r="J5" s="14">
        <v>39834.311000000002</v>
      </c>
      <c r="K5">
        <v>1083.797</v>
      </c>
      <c r="L5">
        <v>874.58100000000002</v>
      </c>
      <c r="M5">
        <v>0</v>
      </c>
      <c r="N5">
        <v>0</v>
      </c>
      <c r="O5" s="2">
        <v>0.96799999999999997</v>
      </c>
      <c r="P5">
        <v>0.71060000000000001</v>
      </c>
      <c r="Q5">
        <v>0.28939999999999999</v>
      </c>
      <c r="V5" s="11">
        <v>493.089</v>
      </c>
      <c r="W5" s="3">
        <v>0</v>
      </c>
      <c r="X5">
        <f t="shared" ref="X5:X7" si="0">I5-$I$11</f>
        <v>493.08899999999994</v>
      </c>
    </row>
    <row r="6" spans="1:25" x14ac:dyDescent="0.3">
      <c r="A6" s="42">
        <v>3</v>
      </c>
      <c r="B6" s="43" t="s">
        <v>23</v>
      </c>
      <c r="C6" s="44">
        <v>23</v>
      </c>
      <c r="D6" s="44">
        <v>-19715.304</v>
      </c>
      <c r="E6" s="44">
        <v>1.0593999999999999</v>
      </c>
      <c r="F6" s="44" t="s">
        <v>23</v>
      </c>
      <c r="G6" s="44">
        <v>39476.608</v>
      </c>
      <c r="H6" s="76">
        <v>39652.394999999997</v>
      </c>
      <c r="I6" s="77">
        <v>39629.394999999997</v>
      </c>
      <c r="J6" s="54">
        <v>39556.307999999997</v>
      </c>
      <c r="K6" s="44">
        <v>643.62199999999996</v>
      </c>
      <c r="L6" s="44">
        <v>557.65499999999997</v>
      </c>
      <c r="M6" s="44">
        <v>0</v>
      </c>
      <c r="N6" s="44">
        <v>0</v>
      </c>
      <c r="O6" s="47">
        <v>0.79700000000000004</v>
      </c>
      <c r="P6" s="88">
        <v>0.13453999999999999</v>
      </c>
      <c r="Q6" s="88">
        <v>0.28998000000000002</v>
      </c>
      <c r="R6" s="88">
        <v>0.57547999999999999</v>
      </c>
      <c r="S6" s="44"/>
      <c r="T6" s="44"/>
      <c r="U6" s="44"/>
      <c r="V6" s="77">
        <v>240.50799999999401</v>
      </c>
      <c r="W6" s="48">
        <v>0</v>
      </c>
      <c r="X6">
        <f t="shared" si="0"/>
        <v>240.50799999999435</v>
      </c>
      <c r="Y6" s="49" cm="1">
        <f t="array" ref="Y6">ROUND(EXP(-0.5*X6)/SUM(EXP(-0.5*$X$4:$X$7)),3)</f>
        <v>0</v>
      </c>
    </row>
    <row r="7" spans="1:25" x14ac:dyDescent="0.3">
      <c r="A7">
        <v>4</v>
      </c>
      <c r="B7" s="2" t="s">
        <v>23</v>
      </c>
      <c r="C7">
        <v>31</v>
      </c>
      <c r="D7">
        <v>-19611.29</v>
      </c>
      <c r="E7">
        <v>1.0946</v>
      </c>
      <c r="F7" t="s">
        <v>23</v>
      </c>
      <c r="G7">
        <v>39284.580999999998</v>
      </c>
      <c r="H7" s="7">
        <v>39521.512000000002</v>
      </c>
      <c r="I7" s="13">
        <v>39490.512000000002</v>
      </c>
      <c r="J7" s="15">
        <v>39392.002999999997</v>
      </c>
      <c r="K7">
        <v>434.90899999999999</v>
      </c>
      <c r="L7">
        <v>355.07499999999999</v>
      </c>
      <c r="M7">
        <v>0</v>
      </c>
      <c r="N7">
        <v>0</v>
      </c>
      <c r="O7" s="10">
        <v>0.79500000000000004</v>
      </c>
      <c r="P7">
        <v>0.12189999999999999</v>
      </c>
      <c r="Q7">
        <v>8.362E-2</v>
      </c>
      <c r="R7">
        <v>0.51017999999999997</v>
      </c>
      <c r="S7">
        <v>0.2843</v>
      </c>
      <c r="V7" s="13">
        <v>101.625</v>
      </c>
      <c r="W7" s="3">
        <v>0</v>
      </c>
      <c r="X7">
        <f t="shared" si="0"/>
        <v>101.625</v>
      </c>
      <c r="Y7" cm="1">
        <f t="array" ref="Y7">ROUND(EXP(-0.5*X7)/SUM(EXP(-0.5*$X$4:$X$7)),3)</f>
        <v>1</v>
      </c>
    </row>
    <row r="8" spans="1:25" x14ac:dyDescent="0.3">
      <c r="A8" s="25">
        <v>5</v>
      </c>
      <c r="B8" s="26" t="s">
        <v>23</v>
      </c>
      <c r="C8" s="25">
        <v>39</v>
      </c>
      <c r="D8" s="25">
        <v>-19545.189999999999</v>
      </c>
      <c r="E8" s="25">
        <v>1.2158</v>
      </c>
      <c r="F8" s="25" t="s">
        <v>23</v>
      </c>
      <c r="G8" s="25">
        <v>39168.381000000001</v>
      </c>
      <c r="H8" s="31">
        <v>39466.455999999998</v>
      </c>
      <c r="I8" s="31">
        <v>39427.455999999998</v>
      </c>
      <c r="J8" s="29">
        <v>39303.525000000001</v>
      </c>
      <c r="K8" s="25">
        <v>225.958</v>
      </c>
      <c r="L8" s="25">
        <v>235.74</v>
      </c>
      <c r="M8" s="25">
        <v>0.12839999999999999</v>
      </c>
      <c r="N8" s="25">
        <v>0.1313</v>
      </c>
      <c r="O8" s="28">
        <v>0.79500000000000004</v>
      </c>
      <c r="P8" s="25">
        <v>2.487E-2</v>
      </c>
      <c r="Q8" s="25">
        <v>8.8489999999999999E-2</v>
      </c>
      <c r="R8" s="25">
        <v>0.26069999999999999</v>
      </c>
      <c r="S8" s="25">
        <v>0.12194000000000001</v>
      </c>
      <c r="T8" s="25">
        <v>0.504</v>
      </c>
      <c r="U8" s="25"/>
      <c r="V8" s="31">
        <v>38.568999999995903</v>
      </c>
      <c r="W8" s="30">
        <v>0</v>
      </c>
    </row>
    <row r="9" spans="1:25" x14ac:dyDescent="0.3">
      <c r="A9" s="36">
        <v>6</v>
      </c>
      <c r="B9" s="37" t="s">
        <v>23</v>
      </c>
      <c r="C9" s="36">
        <v>47</v>
      </c>
      <c r="D9" s="36">
        <v>-19491.333999999999</v>
      </c>
      <c r="E9" s="36">
        <v>1.0390999999999999</v>
      </c>
      <c r="F9" s="36" t="s">
        <v>23</v>
      </c>
      <c r="G9" s="36">
        <v>39076.667999999998</v>
      </c>
      <c r="H9" s="38">
        <v>39435.887000000002</v>
      </c>
      <c r="I9" s="38">
        <v>39388.887000000002</v>
      </c>
      <c r="J9" s="38">
        <v>39239.535000000003</v>
      </c>
      <c r="K9" s="36">
        <v>105.20099999999999</v>
      </c>
      <c r="L9" s="36">
        <v>109.492</v>
      </c>
      <c r="M9" s="36">
        <v>0</v>
      </c>
      <c r="N9" s="36">
        <v>0</v>
      </c>
      <c r="O9" s="40">
        <v>0.77100000000000002</v>
      </c>
      <c r="P9" s="36">
        <v>0.10488</v>
      </c>
      <c r="Q9" s="36">
        <v>6.5040000000000001E-2</v>
      </c>
      <c r="R9" s="36">
        <v>2.1409999999999998E-2</v>
      </c>
      <c r="S9" s="36">
        <v>0.21263000000000001</v>
      </c>
      <c r="T9" s="36">
        <v>0.13574</v>
      </c>
      <c r="U9" s="36">
        <v>0.46028999999999998</v>
      </c>
      <c r="V9" s="38">
        <v>0</v>
      </c>
      <c r="W9" s="38">
        <v>1</v>
      </c>
    </row>
    <row r="11" spans="1:25" x14ac:dyDescent="0.3">
      <c r="H11">
        <f>MIN(H4:H9)</f>
        <v>39435.887000000002</v>
      </c>
      <c r="I11">
        <f>MIN(I4:I9)</f>
        <v>39388.887000000002</v>
      </c>
      <c r="J11">
        <f>MIN(J4:J9)</f>
        <v>39239.535000000003</v>
      </c>
    </row>
    <row r="12" spans="1:25" x14ac:dyDescent="0.3">
      <c r="F12" t="str">
        <f>C6&amp;"&amp;"&amp;A6&amp;"&amp;"&amp;D6&amp;"&amp;"&amp;I6&amp;" &amp; "&amp;J6&amp;" &amp;"&amp;H6&amp;" &amp;"&amp;ROUND(N6,3)&amp;"&amp;"&amp;ROUND(MAX(P6,Q6,R6),3)&amp;"&amp;"&amp;ROUND(MIN(P6,Q6,R6),3)&amp;"&amp;"&amp;O6</f>
        <v>23&amp;3&amp;-19715,304&amp;39629,395 &amp; 39556,308 &amp;39652,395 &amp;0&amp;0,575&amp;0,135&amp;0,797</v>
      </c>
    </row>
    <row r="14" spans="1:25" x14ac:dyDescent="0.3">
      <c r="F14" t="s">
        <v>161</v>
      </c>
    </row>
    <row r="16" spans="1:25" ht="23.4" x14ac:dyDescent="0.45">
      <c r="A16" s="73" t="s">
        <v>71</v>
      </c>
      <c r="P16" s="67">
        <f>ROUND(MAX(P5:Q5),3)</f>
        <v>0.71099999999999997</v>
      </c>
      <c r="Q16">
        <f>ROUND(MIN(P5:Q5),3)</f>
        <v>0.28899999999999998</v>
      </c>
    </row>
    <row r="17" spans="2:26" x14ac:dyDescent="0.3">
      <c r="B17" t="s">
        <v>30</v>
      </c>
      <c r="P17" s="67">
        <f>ROUND(MAX(P6:R6),3)</f>
        <v>0.57499999999999996</v>
      </c>
      <c r="Q17" s="67">
        <f>ROUND(MIN(P6:R6),3)</f>
        <v>0.13500000000000001</v>
      </c>
    </row>
    <row r="18" spans="2:26" x14ac:dyDescent="0.3">
      <c r="B18" t="s">
        <v>31</v>
      </c>
      <c r="P18" s="67">
        <f>ROUND(MAX(P7:S7),3)</f>
        <v>0.51</v>
      </c>
      <c r="Q18" s="67">
        <f>ROUND(MIN(P7:S7),3)</f>
        <v>8.4000000000000005E-2</v>
      </c>
    </row>
    <row r="19" spans="2:26" x14ac:dyDescent="0.3">
      <c r="P19" s="67">
        <f>ROUND(MAX(P8:T8),3)</f>
        <v>0.504</v>
      </c>
      <c r="Q19" s="67">
        <f>ROUND(MIN(P8:T8),3)</f>
        <v>2.5000000000000001E-2</v>
      </c>
    </row>
    <row r="20" spans="2:26" x14ac:dyDescent="0.3">
      <c r="B20" s="60"/>
      <c r="P20" s="67">
        <f>ROUND(MAX(P9:U9),3)</f>
        <v>0.46</v>
      </c>
      <c r="Q20" s="67">
        <f>ROUND(MIN(P9:U9),3)</f>
        <v>2.1000000000000001E-2</v>
      </c>
    </row>
    <row r="21" spans="2:26" x14ac:dyDescent="0.3">
      <c r="B21" s="60"/>
      <c r="C21" s="60">
        <v>1</v>
      </c>
      <c r="D21" s="60">
        <v>2</v>
      </c>
      <c r="E21" s="60">
        <v>3</v>
      </c>
      <c r="F21" s="60"/>
      <c r="P21" s="67"/>
      <c r="Q21" s="67"/>
    </row>
    <row r="22" spans="2:26" x14ac:dyDescent="0.3">
      <c r="B22" s="60">
        <v>1</v>
      </c>
      <c r="C22" s="68">
        <v>1</v>
      </c>
      <c r="D22" s="68">
        <v>0</v>
      </c>
      <c r="E22" s="68">
        <v>0</v>
      </c>
      <c r="F22" s="68"/>
      <c r="J22" t="s">
        <v>136</v>
      </c>
      <c r="L22" t="s">
        <v>137</v>
      </c>
    </row>
    <row r="23" spans="2:26" x14ac:dyDescent="0.3">
      <c r="B23" s="60">
        <v>2</v>
      </c>
      <c r="C23" s="68">
        <v>6.0000000000000001E-3</v>
      </c>
      <c r="D23" s="68">
        <v>0.82499999999999996</v>
      </c>
      <c r="E23" s="68">
        <v>0.16900000000000001</v>
      </c>
      <c r="F23" s="68"/>
      <c r="H23" s="67">
        <f>C22</f>
        <v>1</v>
      </c>
      <c r="I23" t="s">
        <v>133</v>
      </c>
      <c r="J23">
        <v>1644.17247</v>
      </c>
      <c r="K23">
        <v>0.28998000000000002</v>
      </c>
      <c r="M23">
        <v>1612</v>
      </c>
      <c r="N23">
        <v>0.2843</v>
      </c>
    </row>
    <row r="24" spans="2:26" x14ac:dyDescent="0.3">
      <c r="B24" s="60">
        <v>3</v>
      </c>
      <c r="C24" s="68">
        <v>8.0000000000000002E-3</v>
      </c>
      <c r="D24" s="68">
        <v>0.107</v>
      </c>
      <c r="E24" s="68">
        <v>0.88500000000000001</v>
      </c>
      <c r="F24" s="68"/>
      <c r="H24" s="67">
        <f>D23</f>
        <v>0.82499999999999996</v>
      </c>
      <c r="I24" t="s">
        <v>67</v>
      </c>
      <c r="J24">
        <v>762.83042999999998</v>
      </c>
      <c r="K24">
        <v>0.13453999999999999</v>
      </c>
      <c r="M24">
        <v>459</v>
      </c>
      <c r="N24">
        <v>8.0949999999999994E-2</v>
      </c>
    </row>
    <row r="25" spans="2:26" x14ac:dyDescent="0.3">
      <c r="B25" s="60"/>
      <c r="C25" s="68"/>
      <c r="D25" s="68"/>
      <c r="E25" s="68"/>
      <c r="F25" s="68"/>
      <c r="H25" s="67">
        <f>E24</f>
        <v>0.88500000000000001</v>
      </c>
      <c r="I25" t="s">
        <v>141</v>
      </c>
      <c r="J25">
        <v>3262.9971099999998</v>
      </c>
      <c r="K25">
        <v>0.57547999999999999</v>
      </c>
      <c r="M25">
        <v>3599</v>
      </c>
      <c r="N25">
        <v>0.63473999999999997</v>
      </c>
    </row>
    <row r="26" spans="2:26" x14ac:dyDescent="0.3">
      <c r="I26" s="69"/>
    </row>
    <row r="30" spans="2:26" x14ac:dyDescent="0.3">
      <c r="C30" t="s">
        <v>33</v>
      </c>
      <c r="H30">
        <v>1644.17247</v>
      </c>
      <c r="I30">
        <v>0.28998000000000002</v>
      </c>
      <c r="M30" t="s">
        <v>54</v>
      </c>
      <c r="O30">
        <v>762.83042999999998</v>
      </c>
      <c r="P30">
        <v>0.13453999999999999</v>
      </c>
      <c r="R30" t="s">
        <v>55</v>
      </c>
      <c r="T30">
        <v>3262.9971099999998</v>
      </c>
      <c r="U30">
        <v>0.57547999999999999</v>
      </c>
      <c r="Y30" s="53"/>
    </row>
    <row r="31" spans="2:26" x14ac:dyDescent="0.3">
      <c r="H31" t="s">
        <v>73</v>
      </c>
      <c r="M31" t="s">
        <v>67</v>
      </c>
      <c r="R31" t="s">
        <v>74</v>
      </c>
    </row>
    <row r="32" spans="2:26" ht="15.6" x14ac:dyDescent="0.3">
      <c r="B32" s="62"/>
      <c r="C32" t="s">
        <v>32</v>
      </c>
      <c r="D32" s="62" t="s">
        <v>34</v>
      </c>
      <c r="G32" t="s">
        <v>53</v>
      </c>
      <c r="H32" s="59" t="s">
        <v>49</v>
      </c>
      <c r="I32" s="59" t="s">
        <v>50</v>
      </c>
      <c r="J32" s="59" t="s">
        <v>51</v>
      </c>
      <c r="K32" s="59" t="s">
        <v>52</v>
      </c>
      <c r="M32" s="59" t="s">
        <v>49</v>
      </c>
      <c r="N32" s="59" t="s">
        <v>50</v>
      </c>
      <c r="O32" s="59" t="s">
        <v>51</v>
      </c>
      <c r="P32" s="59" t="s">
        <v>52</v>
      </c>
      <c r="R32" s="59" t="s">
        <v>49</v>
      </c>
      <c r="S32" s="59" t="s">
        <v>50</v>
      </c>
      <c r="T32" s="59" t="s">
        <v>51</v>
      </c>
      <c r="U32" s="59" t="s">
        <v>52</v>
      </c>
      <c r="W32" s="59"/>
      <c r="X32" s="59"/>
      <c r="Y32" s="59"/>
      <c r="Z32" s="59"/>
    </row>
    <row r="33" spans="3:21" ht="15.6" x14ac:dyDescent="0.3">
      <c r="D33" s="65" t="s">
        <v>39</v>
      </c>
      <c r="G33">
        <v>1</v>
      </c>
      <c r="H33">
        <v>0.90900000000000003</v>
      </c>
      <c r="I33">
        <v>8.0000000000000002E-3</v>
      </c>
      <c r="J33">
        <v>120.428</v>
      </c>
      <c r="K33">
        <v>0</v>
      </c>
      <c r="M33">
        <v>0.68700000000000006</v>
      </c>
      <c r="N33">
        <v>3.3000000000000002E-2</v>
      </c>
      <c r="O33">
        <v>20.792000000000002</v>
      </c>
      <c r="P33">
        <v>0</v>
      </c>
      <c r="R33">
        <v>0.85899999999999999</v>
      </c>
      <c r="S33">
        <v>8.9999999999999993E-3</v>
      </c>
      <c r="T33">
        <v>96.384</v>
      </c>
      <c r="U33">
        <v>0</v>
      </c>
    </row>
    <row r="34" spans="3:21" ht="15.6" x14ac:dyDescent="0.3">
      <c r="D34" s="65" t="s">
        <v>57</v>
      </c>
      <c r="G34">
        <v>2</v>
      </c>
      <c r="H34">
        <v>9.0999999999999998E-2</v>
      </c>
      <c r="I34">
        <v>8.0000000000000002E-3</v>
      </c>
      <c r="J34">
        <v>12.099</v>
      </c>
      <c r="K34">
        <v>0</v>
      </c>
      <c r="M34">
        <v>0.313</v>
      </c>
      <c r="N34">
        <v>3.3000000000000002E-2</v>
      </c>
      <c r="O34">
        <v>9.4870000000000001</v>
      </c>
      <c r="P34">
        <v>0</v>
      </c>
      <c r="R34">
        <v>0.14099999999999999</v>
      </c>
      <c r="S34">
        <v>8.9999999999999993E-3</v>
      </c>
      <c r="T34">
        <v>15.773</v>
      </c>
      <c r="U34">
        <v>0</v>
      </c>
    </row>
    <row r="35" spans="3:21" ht="15.6" x14ac:dyDescent="0.3">
      <c r="D35" s="64" t="s">
        <v>35</v>
      </c>
    </row>
    <row r="36" spans="3:21" ht="15.6" x14ac:dyDescent="0.3">
      <c r="D36" s="65" t="s">
        <v>39</v>
      </c>
      <c r="G36">
        <v>1</v>
      </c>
      <c r="H36">
        <v>0.77300000000000002</v>
      </c>
      <c r="I36">
        <v>1.0999999999999999E-2</v>
      </c>
      <c r="J36">
        <v>71.146000000000001</v>
      </c>
      <c r="K36">
        <v>0</v>
      </c>
      <c r="M36">
        <v>0.86099999999999999</v>
      </c>
      <c r="N36">
        <v>2.1999999999999999E-2</v>
      </c>
      <c r="O36">
        <v>38.64</v>
      </c>
      <c r="P36">
        <v>0</v>
      </c>
      <c r="R36">
        <v>0.88500000000000001</v>
      </c>
      <c r="S36">
        <v>7.0000000000000001E-3</v>
      </c>
      <c r="T36">
        <v>122.38200000000001</v>
      </c>
      <c r="U36">
        <v>0</v>
      </c>
    </row>
    <row r="37" spans="3:21" ht="15.6" x14ac:dyDescent="0.3">
      <c r="D37" s="65" t="s">
        <v>58</v>
      </c>
      <c r="G37">
        <v>2</v>
      </c>
      <c r="H37">
        <v>0.22700000000000001</v>
      </c>
      <c r="I37">
        <v>1.0999999999999999E-2</v>
      </c>
      <c r="J37">
        <v>20.952000000000002</v>
      </c>
      <c r="K37">
        <v>0</v>
      </c>
      <c r="M37">
        <v>0.13900000000000001</v>
      </c>
      <c r="N37">
        <v>2.1999999999999999E-2</v>
      </c>
      <c r="O37">
        <v>6.2140000000000004</v>
      </c>
      <c r="P37">
        <v>0</v>
      </c>
      <c r="R37">
        <v>0.115</v>
      </c>
      <c r="S37">
        <v>7.0000000000000001E-3</v>
      </c>
      <c r="T37">
        <v>15.856</v>
      </c>
      <c r="U37">
        <v>0</v>
      </c>
    </row>
    <row r="38" spans="3:21" ht="15.6" x14ac:dyDescent="0.3">
      <c r="C38" s="62"/>
      <c r="D38" s="62" t="s">
        <v>40</v>
      </c>
    </row>
    <row r="39" spans="3:21" ht="15.6" x14ac:dyDescent="0.3">
      <c r="D39" s="63" t="s">
        <v>39</v>
      </c>
      <c r="G39">
        <v>1</v>
      </c>
      <c r="H39">
        <v>0.85499999999999998</v>
      </c>
      <c r="I39">
        <v>8.9999999999999993E-3</v>
      </c>
      <c r="J39">
        <v>96.741</v>
      </c>
      <c r="K39">
        <v>0</v>
      </c>
      <c r="M39">
        <v>0.45400000000000001</v>
      </c>
      <c r="N39">
        <v>7.9000000000000001E-2</v>
      </c>
      <c r="O39">
        <v>5.7439999999999998</v>
      </c>
      <c r="P39">
        <v>0</v>
      </c>
      <c r="R39">
        <v>0.94199999999999995</v>
      </c>
      <c r="S39">
        <v>1.4999999999999999E-2</v>
      </c>
      <c r="T39">
        <v>64.671999999999997</v>
      </c>
      <c r="U39">
        <v>0</v>
      </c>
    </row>
    <row r="40" spans="3:21" ht="15.6" x14ac:dyDescent="0.3">
      <c r="D40" s="65" t="s">
        <v>59</v>
      </c>
      <c r="G40">
        <v>2</v>
      </c>
      <c r="H40">
        <v>0.14499999999999999</v>
      </c>
      <c r="I40">
        <v>8.9999999999999993E-3</v>
      </c>
      <c r="J40">
        <v>16.407</v>
      </c>
      <c r="K40">
        <v>0</v>
      </c>
      <c r="M40">
        <v>0.54600000000000004</v>
      </c>
      <c r="N40">
        <v>7.9000000000000001E-2</v>
      </c>
      <c r="O40">
        <v>6.9059999999999997</v>
      </c>
      <c r="P40">
        <v>0</v>
      </c>
      <c r="R40">
        <v>5.8000000000000003E-2</v>
      </c>
      <c r="S40">
        <v>1.4999999999999999E-2</v>
      </c>
      <c r="T40">
        <v>4.0019999999999998</v>
      </c>
      <c r="U40">
        <v>0</v>
      </c>
    </row>
    <row r="41" spans="3:21" ht="15.6" x14ac:dyDescent="0.3">
      <c r="D41" s="62" t="s">
        <v>41</v>
      </c>
    </row>
    <row r="42" spans="3:21" x14ac:dyDescent="0.3">
      <c r="D42" t="s">
        <v>42</v>
      </c>
      <c r="G42">
        <v>1</v>
      </c>
      <c r="H42">
        <v>0.67700000000000005</v>
      </c>
      <c r="I42">
        <v>1.2E-2</v>
      </c>
      <c r="J42">
        <v>57.390999999999998</v>
      </c>
      <c r="K42">
        <v>0</v>
      </c>
      <c r="M42">
        <v>0.247</v>
      </c>
      <c r="N42">
        <v>7.1999999999999995E-2</v>
      </c>
      <c r="O42">
        <v>3.4079999999999999</v>
      </c>
      <c r="P42">
        <v>1E-3</v>
      </c>
      <c r="R42">
        <v>0.81799999999999995</v>
      </c>
      <c r="S42">
        <v>2.1999999999999999E-2</v>
      </c>
      <c r="T42">
        <v>37.944000000000003</v>
      </c>
      <c r="U42">
        <v>0</v>
      </c>
    </row>
    <row r="43" spans="3:21" x14ac:dyDescent="0.3">
      <c r="D43" t="s">
        <v>60</v>
      </c>
      <c r="G43">
        <v>2</v>
      </c>
      <c r="H43">
        <v>0.32300000000000001</v>
      </c>
      <c r="I43">
        <v>1.2E-2</v>
      </c>
      <c r="J43">
        <v>27.390999999999998</v>
      </c>
      <c r="K43">
        <v>0</v>
      </c>
      <c r="M43">
        <v>0.753</v>
      </c>
      <c r="N43">
        <v>7.1999999999999995E-2</v>
      </c>
      <c r="O43">
        <v>10.414</v>
      </c>
      <c r="P43">
        <v>0</v>
      </c>
      <c r="R43">
        <v>0.182</v>
      </c>
      <c r="S43">
        <v>2.1999999999999999E-2</v>
      </c>
      <c r="T43">
        <v>8.4629999999999992</v>
      </c>
      <c r="U43">
        <v>0</v>
      </c>
    </row>
    <row r="44" spans="3:21" ht="15.6" x14ac:dyDescent="0.3">
      <c r="D44" s="62" t="s">
        <v>43</v>
      </c>
    </row>
    <row r="45" spans="3:21" x14ac:dyDescent="0.3">
      <c r="D45" t="s">
        <v>44</v>
      </c>
      <c r="G45">
        <v>1</v>
      </c>
      <c r="H45">
        <v>0.501</v>
      </c>
      <c r="I45">
        <v>1.2E-2</v>
      </c>
      <c r="J45">
        <v>40.106000000000002</v>
      </c>
      <c r="K45">
        <v>0</v>
      </c>
      <c r="M45">
        <v>0.70399999999999996</v>
      </c>
      <c r="N45">
        <v>3.3000000000000002E-2</v>
      </c>
      <c r="O45">
        <v>21.071000000000002</v>
      </c>
      <c r="P45">
        <v>0</v>
      </c>
      <c r="R45">
        <v>0.64300000000000002</v>
      </c>
      <c r="S45">
        <v>0.01</v>
      </c>
      <c r="T45">
        <v>63.095999999999997</v>
      </c>
      <c r="U45">
        <v>0</v>
      </c>
    </row>
    <row r="46" spans="3:21" x14ac:dyDescent="0.3">
      <c r="D46" t="s">
        <v>61</v>
      </c>
      <c r="G46">
        <v>2</v>
      </c>
      <c r="H46">
        <v>0.499</v>
      </c>
      <c r="I46">
        <v>1.2E-2</v>
      </c>
      <c r="J46">
        <v>39.936999999999998</v>
      </c>
      <c r="K46">
        <v>0</v>
      </c>
      <c r="M46">
        <v>0.29599999999999999</v>
      </c>
      <c r="N46">
        <v>3.3000000000000002E-2</v>
      </c>
      <c r="O46">
        <v>8.8780000000000001</v>
      </c>
      <c r="P46">
        <v>0</v>
      </c>
      <c r="R46">
        <v>0.35699999999999998</v>
      </c>
      <c r="S46">
        <v>0.01</v>
      </c>
      <c r="T46">
        <v>34.966999999999999</v>
      </c>
      <c r="U46">
        <v>0</v>
      </c>
    </row>
    <row r="47" spans="3:21" ht="15.6" x14ac:dyDescent="0.3">
      <c r="D47" s="62" t="s">
        <v>45</v>
      </c>
    </row>
    <row r="48" spans="3:21" x14ac:dyDescent="0.3">
      <c r="D48" t="s">
        <v>46</v>
      </c>
      <c r="G48">
        <v>1</v>
      </c>
      <c r="H48">
        <v>1</v>
      </c>
      <c r="I48">
        <v>0</v>
      </c>
      <c r="J48">
        <v>0</v>
      </c>
      <c r="K48">
        <v>1</v>
      </c>
      <c r="M48">
        <v>0.30299999999999999</v>
      </c>
      <c r="N48">
        <v>2.7E-2</v>
      </c>
      <c r="O48">
        <v>11.163</v>
      </c>
      <c r="P48">
        <v>0</v>
      </c>
      <c r="R48">
        <v>0.20599999999999999</v>
      </c>
      <c r="S48">
        <v>1.2999999999999999E-2</v>
      </c>
      <c r="T48">
        <v>15.632</v>
      </c>
      <c r="U48">
        <v>0</v>
      </c>
    </row>
    <row r="49" spans="4:21" x14ac:dyDescent="0.3">
      <c r="D49" t="s">
        <v>63</v>
      </c>
      <c r="G49">
        <v>2</v>
      </c>
      <c r="H49">
        <v>0</v>
      </c>
      <c r="I49">
        <v>0</v>
      </c>
      <c r="J49">
        <v>0</v>
      </c>
      <c r="K49">
        <v>1</v>
      </c>
      <c r="M49">
        <v>0.69699999999999995</v>
      </c>
      <c r="N49">
        <v>2.7E-2</v>
      </c>
      <c r="O49">
        <v>25.619</v>
      </c>
      <c r="P49">
        <v>0</v>
      </c>
      <c r="R49">
        <v>0.79400000000000004</v>
      </c>
      <c r="S49">
        <v>1.2999999999999999E-2</v>
      </c>
      <c r="T49">
        <v>60.122999999999998</v>
      </c>
      <c r="U49">
        <v>0</v>
      </c>
    </row>
    <row r="50" spans="4:21" ht="15.6" x14ac:dyDescent="0.3">
      <c r="D50" s="62" t="s">
        <v>45</v>
      </c>
    </row>
    <row r="51" spans="4:21" x14ac:dyDescent="0.3">
      <c r="D51" t="s">
        <v>47</v>
      </c>
      <c r="G51">
        <v>1</v>
      </c>
      <c r="H51">
        <v>0.02</v>
      </c>
      <c r="I51">
        <v>3.1E-2</v>
      </c>
      <c r="J51">
        <v>0.63100000000000001</v>
      </c>
      <c r="K51">
        <v>0.52800000000000002</v>
      </c>
      <c r="M51">
        <v>1</v>
      </c>
      <c r="N51">
        <v>0</v>
      </c>
      <c r="O51">
        <v>0</v>
      </c>
      <c r="P51">
        <v>1</v>
      </c>
      <c r="R51">
        <v>1</v>
      </c>
      <c r="S51">
        <v>0</v>
      </c>
      <c r="T51">
        <v>0</v>
      </c>
      <c r="U51">
        <v>1</v>
      </c>
    </row>
    <row r="52" spans="4:21" x14ac:dyDescent="0.3">
      <c r="D52" t="s">
        <v>62</v>
      </c>
      <c r="G52">
        <v>2</v>
      </c>
      <c r="H52">
        <v>0.98</v>
      </c>
      <c r="I52">
        <v>3.1E-2</v>
      </c>
      <c r="J52">
        <v>31.622</v>
      </c>
      <c r="K52">
        <v>0</v>
      </c>
      <c r="M52">
        <v>0</v>
      </c>
      <c r="N52">
        <v>0</v>
      </c>
      <c r="O52">
        <v>0</v>
      </c>
      <c r="P52">
        <v>1</v>
      </c>
      <c r="R52">
        <v>0</v>
      </c>
      <c r="S52">
        <v>0</v>
      </c>
      <c r="T52">
        <v>0</v>
      </c>
      <c r="U52">
        <v>1</v>
      </c>
    </row>
    <row r="53" spans="4:21" x14ac:dyDescent="0.3">
      <c r="D53" s="66"/>
    </row>
    <row r="54" spans="4:21" x14ac:dyDescent="0.3">
      <c r="R54" t="s">
        <v>138</v>
      </c>
    </row>
    <row r="74" spans="16:17" x14ac:dyDescent="0.3">
      <c r="P74" t="s">
        <v>106</v>
      </c>
      <c r="Q74" t="s">
        <v>105</v>
      </c>
    </row>
    <row r="75" spans="16:17" x14ac:dyDescent="0.3">
      <c r="P75" t="s">
        <v>107</v>
      </c>
      <c r="Q75" t="s">
        <v>109</v>
      </c>
    </row>
    <row r="76" spans="16:17" x14ac:dyDescent="0.3">
      <c r="P76" t="s">
        <v>108</v>
      </c>
      <c r="Q76" t="s">
        <v>110</v>
      </c>
    </row>
    <row r="89" spans="3:12" x14ac:dyDescent="0.3">
      <c r="C89">
        <v>7</v>
      </c>
      <c r="D89">
        <v>-21723.335999999999</v>
      </c>
      <c r="E89">
        <v>43514.173000000003</v>
      </c>
      <c r="F89">
        <v>43507.173000000003</v>
      </c>
      <c r="G89">
        <v>43484.928999999996</v>
      </c>
      <c r="L89">
        <v>0</v>
      </c>
    </row>
    <row r="90" spans="3:12" x14ac:dyDescent="0.3">
      <c r="C90">
        <v>15</v>
      </c>
      <c r="D90">
        <v>-19876.166000000001</v>
      </c>
      <c r="E90">
        <v>39896.976000000002</v>
      </c>
      <c r="F90">
        <v>39881.976000000002</v>
      </c>
      <c r="G90">
        <v>39834.311000000002</v>
      </c>
      <c r="H90">
        <v>0</v>
      </c>
      <c r="I90">
        <v>0.71099999999999997</v>
      </c>
      <c r="J90">
        <v>0.28899999999999998</v>
      </c>
      <c r="K90">
        <v>0.96799999999999997</v>
      </c>
      <c r="L90">
        <v>0</v>
      </c>
    </row>
    <row r="91" spans="3:12" x14ac:dyDescent="0.3">
      <c r="C91">
        <v>23</v>
      </c>
      <c r="D91">
        <v>-19715.304</v>
      </c>
      <c r="E91">
        <v>39652.394999999997</v>
      </c>
      <c r="F91">
        <v>39629.394999999997</v>
      </c>
      <c r="G91">
        <v>39556.307999999997</v>
      </c>
      <c r="H91">
        <v>0</v>
      </c>
      <c r="I91">
        <v>0.57499999999999996</v>
      </c>
      <c r="J91">
        <v>0.13500000000000001</v>
      </c>
      <c r="K91">
        <v>0.79700000000000004</v>
      </c>
      <c r="L91">
        <v>0</v>
      </c>
    </row>
    <row r="92" spans="3:12" x14ac:dyDescent="0.3">
      <c r="C92">
        <v>31</v>
      </c>
      <c r="D92">
        <v>-19611.29</v>
      </c>
      <c r="E92">
        <v>39521.512000000002</v>
      </c>
      <c r="F92">
        <v>39490.512000000002</v>
      </c>
      <c r="G92">
        <v>39392.002999999997</v>
      </c>
      <c r="H92">
        <v>0</v>
      </c>
      <c r="I92">
        <v>0.51</v>
      </c>
      <c r="J92">
        <v>8.4000000000000005E-2</v>
      </c>
      <c r="K92">
        <v>0.79500000000000004</v>
      </c>
      <c r="L92">
        <v>0</v>
      </c>
    </row>
    <row r="93" spans="3:12" x14ac:dyDescent="0.3">
      <c r="C93">
        <v>39</v>
      </c>
      <c r="D93">
        <v>-19545.189999999999</v>
      </c>
      <c r="E93">
        <v>39466.455999999998</v>
      </c>
      <c r="F93">
        <v>39427.455999999998</v>
      </c>
      <c r="G93">
        <v>39303.525000000001</v>
      </c>
      <c r="H93">
        <v>0.1313</v>
      </c>
      <c r="I93">
        <v>0.504</v>
      </c>
      <c r="J93">
        <v>2.5000000000000001E-2</v>
      </c>
      <c r="K93">
        <v>0.79500000000000004</v>
      </c>
      <c r="L93">
        <v>0</v>
      </c>
    </row>
    <row r="94" spans="3:12" x14ac:dyDescent="0.3">
      <c r="C94">
        <v>47</v>
      </c>
      <c r="D94">
        <v>-19491.333999999999</v>
      </c>
      <c r="E94">
        <v>39435.887000000002</v>
      </c>
      <c r="F94">
        <v>39388.887000000002</v>
      </c>
      <c r="G94">
        <v>39239.535000000003</v>
      </c>
      <c r="H94">
        <v>0</v>
      </c>
      <c r="I94">
        <v>0.46</v>
      </c>
      <c r="J94">
        <v>2.1000000000000001E-2</v>
      </c>
      <c r="K94">
        <v>0.77100000000000002</v>
      </c>
      <c r="L94">
        <v>1</v>
      </c>
    </row>
    <row r="100" spans="3:12" x14ac:dyDescent="0.3">
      <c r="E100" t="s">
        <v>136</v>
      </c>
      <c r="G100" t="s">
        <v>137</v>
      </c>
    </row>
    <row r="101" spans="3:12" x14ac:dyDescent="0.3">
      <c r="C101">
        <v>1</v>
      </c>
      <c r="D101" t="s">
        <v>133</v>
      </c>
      <c r="E101">
        <v>1644.17247</v>
      </c>
      <c r="F101">
        <v>0.28998000000000002</v>
      </c>
      <c r="H101">
        <v>1612</v>
      </c>
      <c r="I101">
        <v>0.2843</v>
      </c>
    </row>
    <row r="102" spans="3:12" x14ac:dyDescent="0.3">
      <c r="C102">
        <v>0.82499999999999996</v>
      </c>
      <c r="D102" t="s">
        <v>67</v>
      </c>
      <c r="E102">
        <v>762.83042999999998</v>
      </c>
      <c r="F102">
        <v>0.13453999999999999</v>
      </c>
      <c r="H102">
        <v>459</v>
      </c>
      <c r="I102">
        <v>8.0949999999999994E-2</v>
      </c>
    </row>
    <row r="103" spans="3:12" x14ac:dyDescent="0.3">
      <c r="C103">
        <v>0.88500000000000001</v>
      </c>
      <c r="D103" t="s">
        <v>141</v>
      </c>
      <c r="E103">
        <v>3262.9971099999998</v>
      </c>
      <c r="F103">
        <v>0.57547999999999999</v>
      </c>
      <c r="H103">
        <v>3599</v>
      </c>
      <c r="I103">
        <v>0.63473999999999997</v>
      </c>
    </row>
    <row r="105" spans="3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3:12" x14ac:dyDescent="0.3">
      <c r="C106">
        <v>1</v>
      </c>
      <c r="D106" s="91">
        <f>ROUND(F101,3)</f>
        <v>0.28999999999999998</v>
      </c>
      <c r="E106">
        <f>ROUND(I101,3)</f>
        <v>0.28399999999999997</v>
      </c>
      <c r="F106">
        <f>ROUND(C101,3)</f>
        <v>1</v>
      </c>
      <c r="G106" t="e">
        <f>ROUND((F106/(1-F106))/(D106/(1-D106)),3)</f>
        <v>#DIV/0!</v>
      </c>
      <c r="H106" s="92">
        <f>ROUND(H101/$L$106,3)</f>
        <v>70.087000000000003</v>
      </c>
      <c r="L106">
        <f>C6</f>
        <v>23</v>
      </c>
    </row>
    <row r="107" spans="3:12" x14ac:dyDescent="0.3">
      <c r="C107">
        <v>2</v>
      </c>
      <c r="D107" s="91">
        <f t="shared" ref="D107:D108" si="1">ROUND(F102,3)</f>
        <v>0.13500000000000001</v>
      </c>
      <c r="E107">
        <f t="shared" ref="E107:E108" si="2">ROUND(I102,3)</f>
        <v>8.1000000000000003E-2</v>
      </c>
      <c r="F107">
        <f t="shared" ref="F107:F108" si="3">ROUND(C102,3)</f>
        <v>0.82499999999999996</v>
      </c>
      <c r="G107" s="67">
        <f>ROUND((F107/(1-F107))/(D107/(1-D107)),3)</f>
        <v>30.206</v>
      </c>
      <c r="H107" s="92">
        <f>ROUND(H102/$L$106,3)</f>
        <v>19.957000000000001</v>
      </c>
    </row>
    <row r="108" spans="3:12" x14ac:dyDescent="0.3">
      <c r="C108">
        <v>3</v>
      </c>
      <c r="D108" s="91">
        <f t="shared" si="1"/>
        <v>0.57499999999999996</v>
      </c>
      <c r="E108">
        <f t="shared" si="2"/>
        <v>0.63500000000000001</v>
      </c>
      <c r="F108">
        <f t="shared" si="3"/>
        <v>0.88500000000000001</v>
      </c>
      <c r="G108" s="67">
        <f>ROUND((F108/(1-F108))/(D108/(1-D108)),3)</f>
        <v>5.6879999999999997</v>
      </c>
      <c r="H108" s="92">
        <f>ROUND(H103/$L$106,3)</f>
        <v>156.47800000000001</v>
      </c>
    </row>
    <row r="110" spans="3:12" x14ac:dyDescent="0.3">
      <c r="C110" t="str">
        <f>C106&amp;"&amp;"&amp;D101&amp;"&amp;"&amp;D106&amp;"&amp;"&amp;E106&amp;"&amp;"&amp;F106&amp;"&amp;"&amp;"$&gt;$"&amp;"&amp;"&amp;H106</f>
        <v>1&amp;Indiff&amp;0,29&amp;0,284&amp;1&amp;$&gt;$&amp;70,087</v>
      </c>
    </row>
    <row r="111" spans="3:12" x14ac:dyDescent="0.3">
      <c r="C111" t="str">
        <f>C107&amp;"&amp;"&amp;D102&amp;"&amp;"&amp;D107&amp;"&amp;"&amp;E107&amp;"&amp;"&amp;F107&amp;"&amp;"&amp;G107&amp;"&amp;"&amp;H107</f>
        <v>2&amp;ExtreMiss&amp;0,135&amp;0,081&amp;0,825&amp;30,206&amp;19,957</v>
      </c>
    </row>
    <row r="112" spans="3:12" x14ac:dyDescent="0.3">
      <c r="C112" t="str">
        <f>C108&amp;"&amp;"&amp;D103&amp;"&amp;"&amp;D108&amp;"&amp;"&amp;E108&amp;"&amp;"&amp;F108&amp;"&amp;"&amp;G108&amp;"&amp;"&amp;H108</f>
        <v>3&amp;Opti&amp;0,575&amp;0,635&amp;0,885&amp;5,688&amp;156,478</v>
      </c>
    </row>
    <row r="115" spans="3:3" x14ac:dyDescent="0.3">
      <c r="C115" t="s">
        <v>193</v>
      </c>
    </row>
    <row r="116" spans="3:3" x14ac:dyDescent="0.3">
      <c r="C116" t="s">
        <v>194</v>
      </c>
    </row>
    <row r="117" spans="3:3" x14ac:dyDescent="0.3">
      <c r="C117" t="s">
        <v>195</v>
      </c>
    </row>
  </sheetData>
  <autoFilter ref="A3:W9" xr:uid="{00000000-0009-0000-0000-000001000000}"/>
  <conditionalFormatting sqref="B32">
    <cfRule type="containsBlanks" priority="11" stopIfTrue="1">
      <formula>LEN(TRIM(B32))=0</formula>
    </cfRule>
  </conditionalFormatting>
  <conditionalFormatting sqref="C22 D23 E24">
    <cfRule type="cellIs" dxfId="89" priority="2" operator="lessThan">
      <formula>0.8</formula>
    </cfRule>
    <cfRule type="cellIs" dxfId="88" priority="4" operator="between">
      <formula>0.8</formula>
      <formula>0.85</formula>
    </cfRule>
    <cfRule type="cellIs" dxfId="87" priority="5" operator="greaterThanOrEqual">
      <formula>0.85</formula>
    </cfRule>
  </conditionalFormatting>
  <conditionalFormatting sqref="C22 D23">
    <cfRule type="cellIs" dxfId="86" priority="3" operator="equal">
      <formula>1</formula>
    </cfRule>
  </conditionalFormatting>
  <conditionalFormatting sqref="C38">
    <cfRule type="containsBlanks" priority="12" stopIfTrue="1">
      <formula>LEN(TRIM(C38))=0</formula>
    </cfRule>
  </conditionalFormatting>
  <conditionalFormatting sqref="D32:D41">
    <cfRule type="containsBlanks" priority="9" stopIfTrue="1">
      <formula>LEN(TRIM(D32))=0</formula>
    </cfRule>
  </conditionalFormatting>
  <conditionalFormatting sqref="D44">
    <cfRule type="containsBlanks" priority="10" stopIfTrue="1">
      <formula>LEN(TRIM(D44))=0</formula>
    </cfRule>
  </conditionalFormatting>
  <conditionalFormatting sqref="D47">
    <cfRule type="containsBlanks" priority="8" stopIfTrue="1">
      <formula>LEN(TRIM(D47))=0</formula>
    </cfRule>
  </conditionalFormatting>
  <conditionalFormatting sqref="D50">
    <cfRule type="containsBlanks" priority="7" stopIfTrue="1">
      <formula>LEN(TRIM(D50))=0</formula>
    </cfRule>
  </conditionalFormatting>
  <conditionalFormatting sqref="D53:D54">
    <cfRule type="containsBlanks" priority="6" stopIfTrue="1">
      <formula>LEN(TRIM(D53))=0</formula>
    </cfRule>
  </conditionalFormatting>
  <conditionalFormatting sqref="H4:J11">
    <cfRule type="duplicateValues" dxfId="85" priority="1"/>
  </conditionalFormatting>
  <conditionalFormatting sqref="P4:P9">
    <cfRule type="cellIs" dxfId="84" priority="37" stopIfTrue="1" operator="between">
      <formula>0</formula>
      <formula>0.05</formula>
    </cfRule>
  </conditionalFormatting>
  <conditionalFormatting sqref="Q5:Q9">
    <cfRule type="cellIs" dxfId="83" priority="38" stopIfTrue="1" operator="between">
      <formula>0</formula>
      <formula>0.05</formula>
    </cfRule>
  </conditionalFormatting>
  <conditionalFormatting sqref="R6:R9">
    <cfRule type="cellIs" dxfId="82" priority="39" stopIfTrue="1" operator="between">
      <formula>0</formula>
      <formula>0.05</formula>
    </cfRule>
  </conditionalFormatting>
  <conditionalFormatting sqref="S7:S9">
    <cfRule type="cellIs" dxfId="81" priority="40" stopIfTrue="1" operator="between">
      <formula>0</formula>
      <formula>0.05</formula>
    </cfRule>
  </conditionalFormatting>
  <conditionalFormatting sqref="T8:T9">
    <cfRule type="cellIs" dxfId="80" priority="41" stopIfTrue="1" operator="between">
      <formula>0</formula>
      <formula>0.05</formula>
    </cfRule>
  </conditionalFormatting>
  <conditionalFormatting sqref="U9">
    <cfRule type="cellIs" dxfId="79" priority="42" stopIfTrue="1" operator="between">
      <formula>0</formula>
      <formula>0.05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116"/>
  <sheetViews>
    <sheetView zoomScale="70" zoomScaleNormal="70" workbookViewId="0">
      <pane xSplit="1" ySplit="1" topLeftCell="B51" activePane="bottomRight" state="frozen"/>
      <selection pane="topRight"/>
      <selection pane="bottomLeft"/>
      <selection pane="bottomRight" activeCell="J118" sqref="J118"/>
    </sheetView>
  </sheetViews>
  <sheetFormatPr defaultColWidth="11.5546875" defaultRowHeight="14.4" x14ac:dyDescent="0.3"/>
  <sheetData>
    <row r="1" spans="1:23" ht="17.399999999999999" x14ac:dyDescent="0.35">
      <c r="A1" s="1" t="s">
        <v>169</v>
      </c>
    </row>
    <row r="3" spans="1:2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3">
      <c r="A4">
        <v>1</v>
      </c>
      <c r="B4" s="2" t="s">
        <v>23</v>
      </c>
      <c r="C4">
        <v>7</v>
      </c>
      <c r="D4">
        <v>-19208.97</v>
      </c>
      <c r="E4">
        <v>1.0712999999999999</v>
      </c>
      <c r="F4" t="s">
        <v>23</v>
      </c>
      <c r="G4">
        <v>38431.94</v>
      </c>
      <c r="H4" s="3">
        <v>38484.705999999998</v>
      </c>
      <c r="I4" s="3">
        <v>38477.705999999998</v>
      </c>
      <c r="J4" s="3">
        <v>38455.462</v>
      </c>
      <c r="K4">
        <v>4212.2860000000001</v>
      </c>
      <c r="L4">
        <v>3897.1080000000002</v>
      </c>
      <c r="P4">
        <v>1</v>
      </c>
      <c r="V4" s="3">
        <v>3468.085</v>
      </c>
      <c r="W4" s="3">
        <v>0</v>
      </c>
    </row>
    <row r="5" spans="1:23" x14ac:dyDescent="0.3">
      <c r="A5">
        <v>2</v>
      </c>
      <c r="B5" s="2" t="s">
        <v>23</v>
      </c>
      <c r="C5">
        <v>15</v>
      </c>
      <c r="D5">
        <v>-17764.223000000002</v>
      </c>
      <c r="E5">
        <v>1.0446</v>
      </c>
      <c r="F5" t="s">
        <v>23</v>
      </c>
      <c r="G5">
        <v>35558.447</v>
      </c>
      <c r="H5" s="22">
        <v>35671.516000000003</v>
      </c>
      <c r="I5" s="23">
        <v>35656.516000000003</v>
      </c>
      <c r="J5" s="18">
        <v>35608.851999999999</v>
      </c>
      <c r="K5">
        <v>1324.191</v>
      </c>
      <c r="L5">
        <v>1037.134</v>
      </c>
      <c r="M5">
        <v>0</v>
      </c>
      <c r="N5">
        <v>0</v>
      </c>
      <c r="O5" s="2">
        <v>1</v>
      </c>
      <c r="P5">
        <v>0.69442000000000004</v>
      </c>
      <c r="Q5">
        <v>0.30558000000000002</v>
      </c>
      <c r="V5" s="23">
        <v>646.89500000000396</v>
      </c>
      <c r="W5" s="3">
        <v>0</v>
      </c>
    </row>
    <row r="6" spans="1:23" x14ac:dyDescent="0.3">
      <c r="A6" s="42">
        <v>3</v>
      </c>
      <c r="B6" s="43" t="s">
        <v>23</v>
      </c>
      <c r="C6" s="44">
        <v>23</v>
      </c>
      <c r="D6" s="44">
        <v>-17515.152999999998</v>
      </c>
      <c r="E6" s="44">
        <v>1.0727</v>
      </c>
      <c r="F6" s="44" t="s">
        <v>23</v>
      </c>
      <c r="G6" s="44">
        <v>35076.307000000001</v>
      </c>
      <c r="H6" s="54">
        <v>35249.68</v>
      </c>
      <c r="I6" s="50">
        <v>35226.68</v>
      </c>
      <c r="J6" s="55">
        <v>35153.593999999997</v>
      </c>
      <c r="K6" s="44">
        <v>599.19200000000001</v>
      </c>
      <c r="L6" s="44">
        <v>548.40800000000002</v>
      </c>
      <c r="M6" s="44">
        <v>0</v>
      </c>
      <c r="N6" s="44">
        <v>0</v>
      </c>
      <c r="O6" s="47">
        <v>0.79800000000000004</v>
      </c>
      <c r="P6" s="44">
        <v>0.30558000000000002</v>
      </c>
      <c r="Q6" s="44">
        <v>0.19375999999999999</v>
      </c>
      <c r="R6" s="44">
        <v>0.50065999999999999</v>
      </c>
      <c r="S6" s="44"/>
      <c r="T6" s="44"/>
      <c r="U6" s="44"/>
      <c r="V6" s="50">
        <v>217.05900000000099</v>
      </c>
      <c r="W6" s="56">
        <v>0</v>
      </c>
    </row>
    <row r="7" spans="1:23" x14ac:dyDescent="0.3">
      <c r="A7">
        <v>4</v>
      </c>
      <c r="B7" s="2" t="s">
        <v>23</v>
      </c>
      <c r="C7">
        <v>31</v>
      </c>
      <c r="D7">
        <v>-17414.419000000002</v>
      </c>
      <c r="E7">
        <v>1.1167</v>
      </c>
      <c r="F7" t="s">
        <v>23</v>
      </c>
      <c r="G7">
        <v>34890.838000000003</v>
      </c>
      <c r="H7" s="13">
        <v>35124.514999999999</v>
      </c>
      <c r="I7" s="13">
        <v>35093.514999999999</v>
      </c>
      <c r="J7" s="4">
        <v>34995.008000000002</v>
      </c>
      <c r="K7">
        <v>371.31200000000001</v>
      </c>
      <c r="L7">
        <v>354.161</v>
      </c>
      <c r="M7">
        <v>0</v>
      </c>
      <c r="N7">
        <v>0</v>
      </c>
      <c r="O7" s="10">
        <v>0.80600000000000005</v>
      </c>
      <c r="P7">
        <v>0.52154</v>
      </c>
      <c r="Q7">
        <v>0.10523</v>
      </c>
      <c r="R7">
        <v>9.3990000000000004E-2</v>
      </c>
      <c r="S7">
        <v>0.27923999999999999</v>
      </c>
      <c r="V7" s="13">
        <v>83.894000000000204</v>
      </c>
      <c r="W7" s="3">
        <v>0</v>
      </c>
    </row>
    <row r="8" spans="1:23" x14ac:dyDescent="0.3">
      <c r="A8">
        <v>5</v>
      </c>
      <c r="B8" s="2" t="s">
        <v>23</v>
      </c>
      <c r="C8">
        <v>39</v>
      </c>
      <c r="D8">
        <v>-17338.32</v>
      </c>
      <c r="E8">
        <v>1.0891</v>
      </c>
      <c r="F8" t="s">
        <v>23</v>
      </c>
      <c r="G8">
        <v>34754.639999999999</v>
      </c>
      <c r="H8" s="6">
        <v>35048.620999999999</v>
      </c>
      <c r="I8" s="6">
        <v>35009.620999999999</v>
      </c>
      <c r="J8" s="5">
        <v>34885.692000000003</v>
      </c>
      <c r="K8">
        <v>184.12299999999999</v>
      </c>
      <c r="L8">
        <v>198.88499999999999</v>
      </c>
      <c r="M8">
        <v>0</v>
      </c>
      <c r="N8">
        <v>0</v>
      </c>
      <c r="O8" s="3">
        <v>0.70599999999999996</v>
      </c>
      <c r="P8">
        <v>0.18720000000000001</v>
      </c>
      <c r="Q8">
        <v>0.11839</v>
      </c>
      <c r="R8">
        <v>8.3220000000000002E-2</v>
      </c>
      <c r="S8">
        <v>0.39179999999999998</v>
      </c>
      <c r="T8">
        <v>0.21940000000000001</v>
      </c>
      <c r="V8" s="6">
        <v>0</v>
      </c>
      <c r="W8" s="24">
        <v>0.73599999999999999</v>
      </c>
    </row>
    <row r="9" spans="1:23" x14ac:dyDescent="0.3">
      <c r="A9">
        <v>6</v>
      </c>
      <c r="B9" s="2" t="s">
        <v>23</v>
      </c>
      <c r="C9">
        <v>47</v>
      </c>
      <c r="D9">
        <v>-17305.190999999999</v>
      </c>
      <c r="E9">
        <v>1.0740000000000001</v>
      </c>
      <c r="F9" t="s">
        <v>23</v>
      </c>
      <c r="G9">
        <v>34704.383000000002</v>
      </c>
      <c r="H9" s="6">
        <v>35058.667000000001</v>
      </c>
      <c r="I9" s="6">
        <v>35011.667000000001</v>
      </c>
      <c r="J9" s="6">
        <v>34862.317000000003</v>
      </c>
      <c r="K9">
        <v>124.11499999999999</v>
      </c>
      <c r="L9">
        <v>131.53100000000001</v>
      </c>
      <c r="M9">
        <v>8.9999999999999998E-4</v>
      </c>
      <c r="N9">
        <v>1E-3</v>
      </c>
      <c r="O9" s="3">
        <v>0.76500000000000001</v>
      </c>
      <c r="P9">
        <v>0.35615999999999998</v>
      </c>
      <c r="Q9">
        <v>8.7260000000000004E-2</v>
      </c>
      <c r="R9">
        <v>7.7030000000000001E-2</v>
      </c>
      <c r="S9">
        <v>0.25357000000000002</v>
      </c>
      <c r="T9">
        <v>9.2450000000000004E-2</v>
      </c>
      <c r="U9">
        <v>0.13350999999999999</v>
      </c>
      <c r="V9" s="6">
        <v>2.0460000000020999</v>
      </c>
      <c r="W9" s="20">
        <v>0.26400000000000001</v>
      </c>
    </row>
    <row r="11" spans="1:23" x14ac:dyDescent="0.3">
      <c r="H11">
        <f>MIN(H4:H9)</f>
        <v>35048.620999999999</v>
      </c>
      <c r="I11">
        <f>MIN(I4:I9)</f>
        <v>35009.620999999999</v>
      </c>
      <c r="J11">
        <f>MIN(J4:J9)</f>
        <v>34862.317000000003</v>
      </c>
    </row>
    <row r="12" spans="1:23" x14ac:dyDescent="0.3">
      <c r="I12" t="str">
        <f>C6&amp;"&amp;"&amp;A6&amp;"&amp;"&amp;D6&amp;"&amp;"&amp;I6&amp;" &amp; "&amp;J6&amp;" &amp;"&amp;H6&amp;" &amp;"&amp;ROUND(N6,3)&amp;"&amp;"&amp;ROUND(MAX(P6,Q6,R6),3)&amp;"&amp;"&amp;ROUND(MIN(P6,Q6,R6),3)&amp;"&amp;"&amp;O6</f>
        <v>23&amp;3&amp;-17515,153&amp;35226,68 &amp; 35153,594 &amp;35249,68 &amp;0&amp;0,501&amp;0,194&amp;0,798</v>
      </c>
      <c r="V12" t="s">
        <v>29</v>
      </c>
    </row>
    <row r="13" spans="1:23" x14ac:dyDescent="0.3">
      <c r="B13" t="s">
        <v>30</v>
      </c>
      <c r="I13" t="s">
        <v>163</v>
      </c>
    </row>
    <row r="14" spans="1:23" x14ac:dyDescent="0.3">
      <c r="B14" t="s">
        <v>31</v>
      </c>
    </row>
    <row r="16" spans="1:23" x14ac:dyDescent="0.3">
      <c r="B16" s="60"/>
      <c r="C16" s="60">
        <v>1</v>
      </c>
      <c r="D16" s="60">
        <v>2</v>
      </c>
      <c r="E16" s="60">
        <v>3</v>
      </c>
      <c r="F16" s="60"/>
      <c r="P16">
        <f>ROUND(MAX(P5:Q5),3)</f>
        <v>0.69399999999999995</v>
      </c>
      <c r="Q16">
        <f>ROUND(MIN(P5:Q5),3)</f>
        <v>0.30599999999999999</v>
      </c>
    </row>
    <row r="17" spans="2:25" x14ac:dyDescent="0.3">
      <c r="B17" s="60"/>
      <c r="C17" s="60"/>
      <c r="D17" s="60"/>
      <c r="E17" s="60"/>
      <c r="F17" s="60"/>
      <c r="I17" t="s">
        <v>142</v>
      </c>
      <c r="L17" t="s">
        <v>143</v>
      </c>
      <c r="P17">
        <f>ROUND(MAX(P6:R6),3)</f>
        <v>0.501</v>
      </c>
      <c r="Q17">
        <f>ROUND(MIN(P6:R6),3)</f>
        <v>0.19400000000000001</v>
      </c>
    </row>
    <row r="18" spans="2:25" x14ac:dyDescent="0.3">
      <c r="B18" s="60">
        <v>1</v>
      </c>
      <c r="C18" s="68">
        <v>1</v>
      </c>
      <c r="D18" s="68">
        <v>0</v>
      </c>
      <c r="E18" s="68">
        <v>0</v>
      </c>
      <c r="F18" s="60"/>
      <c r="G18" s="67">
        <f>C18</f>
        <v>1</v>
      </c>
      <c r="H18" t="s">
        <v>133</v>
      </c>
      <c r="I18">
        <v>1559.9999399999999</v>
      </c>
      <c r="J18">
        <v>0.30558000000000002</v>
      </c>
      <c r="L18">
        <v>1560</v>
      </c>
      <c r="M18">
        <v>0.30558000000000002</v>
      </c>
      <c r="P18">
        <f>ROUND(MAX(P7:S7),3)</f>
        <v>0.52200000000000002</v>
      </c>
      <c r="Q18">
        <f>ROUND(MIN(P7:S7),3)</f>
        <v>9.4E-2</v>
      </c>
    </row>
    <row r="19" spans="2:25" x14ac:dyDescent="0.3">
      <c r="B19" s="60">
        <v>2</v>
      </c>
      <c r="C19" s="68">
        <v>0</v>
      </c>
      <c r="D19" s="68">
        <v>0.84299999999999997</v>
      </c>
      <c r="E19" s="68">
        <v>0.157</v>
      </c>
      <c r="F19" s="60"/>
      <c r="G19" s="67">
        <f>D19</f>
        <v>0.84299999999999997</v>
      </c>
      <c r="H19" t="s">
        <v>67</v>
      </c>
      <c r="I19">
        <v>989.12868000000003</v>
      </c>
      <c r="J19">
        <v>0.19375999999999999</v>
      </c>
      <c r="L19">
        <v>749</v>
      </c>
      <c r="M19">
        <v>0.14671999999999999</v>
      </c>
      <c r="P19">
        <f>ROUND(MAX(P8:T8),3)</f>
        <v>0.39200000000000002</v>
      </c>
      <c r="Q19">
        <f>ROUND(MIN(P8:T8),3)</f>
        <v>8.3000000000000004E-2</v>
      </c>
    </row>
    <row r="20" spans="2:25" x14ac:dyDescent="0.3">
      <c r="B20" s="60">
        <v>3</v>
      </c>
      <c r="C20" s="68">
        <v>0</v>
      </c>
      <c r="D20" s="68">
        <v>0.128</v>
      </c>
      <c r="E20" s="68">
        <v>0.872</v>
      </c>
      <c r="F20" s="60"/>
      <c r="G20" s="67">
        <f>E20</f>
        <v>0.872</v>
      </c>
      <c r="H20" t="s">
        <v>145</v>
      </c>
      <c r="I20">
        <v>2555.87138</v>
      </c>
      <c r="J20">
        <v>0.50065999999999999</v>
      </c>
      <c r="L20">
        <v>2796</v>
      </c>
      <c r="M20">
        <v>0.54769999999999996</v>
      </c>
      <c r="P20">
        <f>ROUND(MAX(P9:U9),3)</f>
        <v>0.35599999999999998</v>
      </c>
      <c r="Q20">
        <f>ROUND(MIN(P9:U9),3)</f>
        <v>7.6999999999999999E-2</v>
      </c>
      <c r="V20" s="53"/>
    </row>
    <row r="21" spans="2:25" x14ac:dyDescent="0.3">
      <c r="B21" s="60"/>
      <c r="C21" s="60"/>
      <c r="D21" s="60"/>
      <c r="E21" s="60"/>
      <c r="F21" s="61"/>
      <c r="H21" s="69"/>
    </row>
    <row r="26" spans="2:25" x14ac:dyDescent="0.3">
      <c r="C26" t="s">
        <v>33</v>
      </c>
      <c r="H26">
        <v>1559.9999399999999</v>
      </c>
      <c r="I26">
        <v>0.30558000000000002</v>
      </c>
      <c r="M26" t="s">
        <v>54</v>
      </c>
      <c r="O26">
        <v>989.12868000000003</v>
      </c>
      <c r="P26">
        <v>0.19375999999999999</v>
      </c>
      <c r="R26" t="s">
        <v>55</v>
      </c>
      <c r="T26">
        <v>2555.87138</v>
      </c>
      <c r="U26">
        <v>0.50065999999999999</v>
      </c>
      <c r="Y26" s="53"/>
    </row>
    <row r="27" spans="2:25" x14ac:dyDescent="0.3">
      <c r="H27" t="s">
        <v>68</v>
      </c>
      <c r="M27" t="s">
        <v>67</v>
      </c>
      <c r="R27" t="s">
        <v>66</v>
      </c>
    </row>
    <row r="28" spans="2:25" ht="15.6" x14ac:dyDescent="0.3">
      <c r="B28" s="62"/>
      <c r="C28" t="s">
        <v>32</v>
      </c>
      <c r="D28" s="62" t="s">
        <v>34</v>
      </c>
      <c r="G28" t="s">
        <v>53</v>
      </c>
      <c r="H28" s="59" t="s">
        <v>49</v>
      </c>
      <c r="I28" s="59" t="s">
        <v>50</v>
      </c>
      <c r="J28" s="59" t="s">
        <v>51</v>
      </c>
      <c r="K28" s="59" t="s">
        <v>52</v>
      </c>
      <c r="M28" s="59" t="s">
        <v>49</v>
      </c>
      <c r="N28" s="59" t="s">
        <v>50</v>
      </c>
      <c r="O28" s="59" t="s">
        <v>51</v>
      </c>
      <c r="P28" s="59" t="s">
        <v>52</v>
      </c>
      <c r="R28" s="59" t="s">
        <v>49</v>
      </c>
      <c r="S28" s="59" t="s">
        <v>50</v>
      </c>
      <c r="T28" s="59" t="s">
        <v>51</v>
      </c>
      <c r="U28" s="59" t="s">
        <v>52</v>
      </c>
    </row>
    <row r="29" spans="2:25" ht="15.6" x14ac:dyDescent="0.3">
      <c r="D29" s="65" t="s">
        <v>39</v>
      </c>
      <c r="G29">
        <v>1</v>
      </c>
      <c r="H29">
        <v>0.93600000000000005</v>
      </c>
      <c r="I29">
        <v>6.0000000000000001E-3</v>
      </c>
      <c r="J29">
        <v>147.33099999999999</v>
      </c>
      <c r="K29">
        <v>0</v>
      </c>
      <c r="M29">
        <v>0.66200000000000003</v>
      </c>
      <c r="N29">
        <v>2.5000000000000001E-2</v>
      </c>
      <c r="O29">
        <v>26.297000000000001</v>
      </c>
      <c r="P29">
        <v>0</v>
      </c>
      <c r="R29">
        <v>0.86199999999999999</v>
      </c>
      <c r="S29">
        <v>1.4E-2</v>
      </c>
      <c r="T29">
        <v>63.281999999999996</v>
      </c>
      <c r="U29">
        <v>0</v>
      </c>
    </row>
    <row r="30" spans="2:25" ht="15.6" x14ac:dyDescent="0.3">
      <c r="D30" s="65" t="s">
        <v>57</v>
      </c>
      <c r="G30">
        <v>2</v>
      </c>
      <c r="H30">
        <v>6.4000000000000001E-2</v>
      </c>
      <c r="I30">
        <v>6.0000000000000001E-3</v>
      </c>
      <c r="J30">
        <v>10.090999999999999</v>
      </c>
      <c r="K30">
        <v>0</v>
      </c>
      <c r="M30">
        <v>0.33800000000000002</v>
      </c>
      <c r="N30">
        <v>2.5000000000000001E-2</v>
      </c>
      <c r="O30">
        <v>13.439</v>
      </c>
      <c r="P30">
        <v>0</v>
      </c>
      <c r="R30">
        <v>0.13800000000000001</v>
      </c>
      <c r="S30">
        <v>1.4E-2</v>
      </c>
      <c r="T30">
        <v>10.09</v>
      </c>
      <c r="U30">
        <v>0</v>
      </c>
    </row>
    <row r="31" spans="2:25" ht="15.6" x14ac:dyDescent="0.3">
      <c r="D31" s="64" t="s">
        <v>35</v>
      </c>
    </row>
    <row r="32" spans="2:25" ht="15.6" x14ac:dyDescent="0.3">
      <c r="D32" s="65" t="s">
        <v>39</v>
      </c>
      <c r="G32">
        <v>1</v>
      </c>
      <c r="H32">
        <v>0.75800000000000001</v>
      </c>
      <c r="I32">
        <v>1.0999999999999999E-2</v>
      </c>
      <c r="J32">
        <v>68.343000000000004</v>
      </c>
      <c r="K32">
        <v>0</v>
      </c>
      <c r="M32">
        <v>0.92</v>
      </c>
      <c r="N32">
        <v>1.4E-2</v>
      </c>
      <c r="O32">
        <v>67.885000000000005</v>
      </c>
      <c r="P32">
        <v>0</v>
      </c>
      <c r="R32">
        <v>0.90100000000000002</v>
      </c>
      <c r="S32">
        <v>7.0000000000000001E-3</v>
      </c>
      <c r="T32">
        <v>122.18</v>
      </c>
      <c r="U32">
        <v>0</v>
      </c>
    </row>
    <row r="33" spans="2:21" ht="15.6" x14ac:dyDescent="0.3">
      <c r="D33" s="65" t="s">
        <v>58</v>
      </c>
      <c r="G33">
        <v>2</v>
      </c>
      <c r="H33">
        <v>0.24199999999999999</v>
      </c>
      <c r="I33">
        <v>1.0999999999999999E-2</v>
      </c>
      <c r="J33">
        <v>21.856000000000002</v>
      </c>
      <c r="K33">
        <v>0</v>
      </c>
      <c r="M33">
        <v>0.08</v>
      </c>
      <c r="N33">
        <v>1.4E-2</v>
      </c>
      <c r="O33">
        <v>5.9429999999999996</v>
      </c>
      <c r="P33">
        <v>0</v>
      </c>
      <c r="R33">
        <v>9.9000000000000005E-2</v>
      </c>
      <c r="S33">
        <v>7.0000000000000001E-3</v>
      </c>
      <c r="T33">
        <v>13.446</v>
      </c>
      <c r="U33">
        <v>0</v>
      </c>
    </row>
    <row r="34" spans="2:21" ht="15.6" x14ac:dyDescent="0.3">
      <c r="B34" s="62"/>
      <c r="C34" s="62"/>
      <c r="D34" s="62" t="s">
        <v>40</v>
      </c>
    </row>
    <row r="35" spans="2:21" ht="15.6" x14ac:dyDescent="0.3">
      <c r="D35" s="63" t="s">
        <v>39</v>
      </c>
      <c r="G35">
        <v>1</v>
      </c>
      <c r="H35">
        <v>0.80600000000000005</v>
      </c>
      <c r="I35">
        <v>0.01</v>
      </c>
      <c r="J35">
        <v>78.228999999999999</v>
      </c>
      <c r="K35">
        <v>0</v>
      </c>
      <c r="M35">
        <v>0.50700000000000001</v>
      </c>
      <c r="N35">
        <v>4.9000000000000002E-2</v>
      </c>
      <c r="O35">
        <v>10.353</v>
      </c>
      <c r="P35">
        <v>0</v>
      </c>
      <c r="R35">
        <v>0.98</v>
      </c>
      <c r="S35">
        <v>0.01</v>
      </c>
      <c r="T35">
        <v>94.171999999999997</v>
      </c>
      <c r="U35">
        <v>0</v>
      </c>
    </row>
    <row r="36" spans="2:21" ht="15.6" x14ac:dyDescent="0.3">
      <c r="D36" s="65" t="s">
        <v>59</v>
      </c>
      <c r="G36">
        <v>2</v>
      </c>
      <c r="H36">
        <v>0.19400000000000001</v>
      </c>
      <c r="I36">
        <v>0.01</v>
      </c>
      <c r="J36">
        <v>18.856999999999999</v>
      </c>
      <c r="K36">
        <v>0</v>
      </c>
      <c r="M36">
        <v>0.49299999999999999</v>
      </c>
      <c r="N36">
        <v>4.9000000000000002E-2</v>
      </c>
      <c r="O36">
        <v>10.071</v>
      </c>
      <c r="P36">
        <v>0</v>
      </c>
      <c r="R36">
        <v>0.02</v>
      </c>
      <c r="S36">
        <v>0.01</v>
      </c>
      <c r="T36">
        <v>1.9279999999999999</v>
      </c>
      <c r="U36">
        <v>5.3999999999999999E-2</v>
      </c>
    </row>
    <row r="37" spans="2:21" ht="15.6" x14ac:dyDescent="0.3">
      <c r="D37" s="62" t="s">
        <v>41</v>
      </c>
    </row>
    <row r="38" spans="2:21" ht="15.6" x14ac:dyDescent="0.3">
      <c r="B38" s="63"/>
      <c r="D38" t="s">
        <v>42</v>
      </c>
      <c r="G38">
        <v>1</v>
      </c>
      <c r="H38">
        <v>0.64200000000000002</v>
      </c>
      <c r="I38">
        <v>1.2E-2</v>
      </c>
      <c r="J38">
        <v>52.384999999999998</v>
      </c>
      <c r="K38">
        <v>0</v>
      </c>
      <c r="M38">
        <v>0.29199999999999998</v>
      </c>
      <c r="N38">
        <v>4.2999999999999997E-2</v>
      </c>
      <c r="O38">
        <v>6.718</v>
      </c>
      <c r="P38">
        <v>0</v>
      </c>
      <c r="R38">
        <v>0.81499999999999995</v>
      </c>
      <c r="S38">
        <v>1.6E-2</v>
      </c>
      <c r="T38">
        <v>49.542999999999999</v>
      </c>
      <c r="U38">
        <v>0</v>
      </c>
    </row>
    <row r="39" spans="2:21" ht="15.6" x14ac:dyDescent="0.3">
      <c r="B39" s="63"/>
      <c r="D39" t="s">
        <v>60</v>
      </c>
      <c r="G39">
        <v>2</v>
      </c>
      <c r="H39">
        <v>0.35799999999999998</v>
      </c>
      <c r="I39">
        <v>1.2E-2</v>
      </c>
      <c r="J39">
        <v>29.254000000000001</v>
      </c>
      <c r="K39">
        <v>0</v>
      </c>
      <c r="M39">
        <v>0.70799999999999996</v>
      </c>
      <c r="N39">
        <v>4.2999999999999997E-2</v>
      </c>
      <c r="O39">
        <v>16.279</v>
      </c>
      <c r="P39">
        <v>0</v>
      </c>
      <c r="R39">
        <v>0.185</v>
      </c>
      <c r="S39">
        <v>1.6E-2</v>
      </c>
      <c r="T39">
        <v>11.217000000000001</v>
      </c>
      <c r="U39">
        <v>0</v>
      </c>
    </row>
    <row r="40" spans="2:21" ht="15.6" x14ac:dyDescent="0.3">
      <c r="D40" s="62" t="s">
        <v>43</v>
      </c>
    </row>
    <row r="41" spans="2:21" ht="15.6" x14ac:dyDescent="0.3">
      <c r="B41" s="63"/>
      <c r="D41" t="s">
        <v>44</v>
      </c>
      <c r="G41">
        <v>1</v>
      </c>
      <c r="H41">
        <v>0.68899999999999995</v>
      </c>
      <c r="I41">
        <v>1.2E-2</v>
      </c>
      <c r="J41">
        <v>56.82</v>
      </c>
      <c r="K41">
        <v>0</v>
      </c>
      <c r="M41">
        <v>0.71699999999999997</v>
      </c>
      <c r="N41">
        <v>2.1000000000000001E-2</v>
      </c>
      <c r="O41">
        <v>33.609000000000002</v>
      </c>
      <c r="P41">
        <v>0</v>
      </c>
      <c r="R41">
        <v>0.84299999999999997</v>
      </c>
      <c r="S41">
        <v>8.9999999999999993E-3</v>
      </c>
      <c r="T41">
        <v>93.82</v>
      </c>
      <c r="U41">
        <v>0</v>
      </c>
    </row>
    <row r="42" spans="2:21" ht="15.6" x14ac:dyDescent="0.3">
      <c r="B42" s="63"/>
      <c r="D42" t="s">
        <v>61</v>
      </c>
      <c r="G42">
        <v>2</v>
      </c>
      <c r="H42">
        <v>0.311</v>
      </c>
      <c r="I42">
        <v>1.2E-2</v>
      </c>
      <c r="J42">
        <v>25.635000000000002</v>
      </c>
      <c r="K42">
        <v>0</v>
      </c>
      <c r="M42">
        <v>0.28299999999999997</v>
      </c>
      <c r="N42">
        <v>2.1000000000000001E-2</v>
      </c>
      <c r="O42">
        <v>13.254</v>
      </c>
      <c r="P42">
        <v>0</v>
      </c>
      <c r="R42">
        <v>0.157</v>
      </c>
      <c r="S42">
        <v>8.9999999999999993E-3</v>
      </c>
      <c r="T42">
        <v>17.472000000000001</v>
      </c>
      <c r="U42">
        <v>0</v>
      </c>
    </row>
    <row r="43" spans="2:21" ht="15.6" x14ac:dyDescent="0.3">
      <c r="B43" s="62"/>
      <c r="D43" s="62" t="s">
        <v>45</v>
      </c>
    </row>
    <row r="44" spans="2:21" ht="15.6" x14ac:dyDescent="0.3">
      <c r="B44" s="63"/>
      <c r="D44" t="s">
        <v>46</v>
      </c>
      <c r="G44">
        <v>1</v>
      </c>
      <c r="H44">
        <v>1</v>
      </c>
      <c r="I44">
        <v>0</v>
      </c>
      <c r="J44">
        <v>0</v>
      </c>
      <c r="K44">
        <v>1</v>
      </c>
      <c r="M44">
        <v>0.52400000000000002</v>
      </c>
      <c r="N44">
        <v>2.7E-2</v>
      </c>
      <c r="O44">
        <v>19.085999999999999</v>
      </c>
      <c r="P44">
        <v>0</v>
      </c>
      <c r="R44">
        <v>0.28100000000000003</v>
      </c>
      <c r="S44">
        <v>1.6E-2</v>
      </c>
      <c r="T44">
        <v>18.09</v>
      </c>
      <c r="U44">
        <v>0</v>
      </c>
    </row>
    <row r="45" spans="2:21" ht="15.6" x14ac:dyDescent="0.3">
      <c r="B45" s="63"/>
      <c r="D45" t="s">
        <v>63</v>
      </c>
      <c r="G45">
        <v>2</v>
      </c>
      <c r="H45">
        <v>0</v>
      </c>
      <c r="I45">
        <v>0</v>
      </c>
      <c r="J45">
        <v>0</v>
      </c>
      <c r="K45">
        <v>1</v>
      </c>
      <c r="M45">
        <v>0.47599999999999998</v>
      </c>
      <c r="N45">
        <v>2.7E-2</v>
      </c>
      <c r="O45">
        <v>17.321999999999999</v>
      </c>
      <c r="P45">
        <v>0</v>
      </c>
      <c r="R45">
        <v>0.71899999999999997</v>
      </c>
      <c r="S45">
        <v>1.6E-2</v>
      </c>
      <c r="T45">
        <v>46.262</v>
      </c>
      <c r="U45">
        <v>0</v>
      </c>
    </row>
    <row r="46" spans="2:21" ht="15.6" x14ac:dyDescent="0.3">
      <c r="B46" s="63"/>
      <c r="D46" s="62" t="s">
        <v>45</v>
      </c>
    </row>
    <row r="47" spans="2:21" x14ac:dyDescent="0.3">
      <c r="B47" s="66"/>
      <c r="D47" t="s">
        <v>47</v>
      </c>
      <c r="G47">
        <v>1</v>
      </c>
      <c r="H47">
        <v>0</v>
      </c>
      <c r="I47">
        <v>0</v>
      </c>
      <c r="J47">
        <v>0</v>
      </c>
      <c r="K47">
        <v>1</v>
      </c>
      <c r="M47">
        <v>1</v>
      </c>
      <c r="N47">
        <v>0</v>
      </c>
      <c r="O47">
        <v>0</v>
      </c>
      <c r="P47">
        <v>1</v>
      </c>
      <c r="R47">
        <v>1</v>
      </c>
      <c r="S47">
        <v>0</v>
      </c>
      <c r="T47">
        <v>0</v>
      </c>
      <c r="U47">
        <v>1</v>
      </c>
    </row>
    <row r="48" spans="2:21" x14ac:dyDescent="0.3">
      <c r="D48" t="s">
        <v>62</v>
      </c>
      <c r="G48">
        <v>2</v>
      </c>
      <c r="H48">
        <v>1</v>
      </c>
      <c r="I48">
        <v>0</v>
      </c>
      <c r="J48">
        <v>0</v>
      </c>
      <c r="K48">
        <v>1</v>
      </c>
      <c r="M48">
        <v>0</v>
      </c>
      <c r="N48">
        <v>0</v>
      </c>
      <c r="O48">
        <v>0</v>
      </c>
      <c r="P48">
        <v>1</v>
      </c>
      <c r="R48">
        <v>0</v>
      </c>
      <c r="S48">
        <v>0</v>
      </c>
      <c r="T48">
        <v>0</v>
      </c>
      <c r="U48">
        <v>1</v>
      </c>
    </row>
    <row r="64" spans="16:17" x14ac:dyDescent="0.3">
      <c r="P64" t="s">
        <v>106</v>
      </c>
      <c r="Q64" t="s">
        <v>105</v>
      </c>
    </row>
    <row r="65" spans="16:17" x14ac:dyDescent="0.3">
      <c r="P65" t="s">
        <v>107</v>
      </c>
      <c r="Q65" t="s">
        <v>109</v>
      </c>
    </row>
    <row r="66" spans="16:17" x14ac:dyDescent="0.3">
      <c r="P66" t="s">
        <v>108</v>
      </c>
      <c r="Q66" t="s">
        <v>110</v>
      </c>
    </row>
    <row r="70" spans="16:17" x14ac:dyDescent="0.3">
      <c r="P70" t="s">
        <v>144</v>
      </c>
    </row>
    <row r="84" spans="5:14" x14ac:dyDescent="0.3">
      <c r="E84">
        <v>7</v>
      </c>
      <c r="F84">
        <v>-19208.97</v>
      </c>
      <c r="G84">
        <v>38484.705999999998</v>
      </c>
      <c r="H84">
        <v>38477.705999999998</v>
      </c>
      <c r="I84">
        <v>38455.462</v>
      </c>
      <c r="N84">
        <v>0</v>
      </c>
    </row>
    <row r="85" spans="5:14" x14ac:dyDescent="0.3">
      <c r="E85">
        <v>15</v>
      </c>
      <c r="F85">
        <v>-17764.223000000002</v>
      </c>
      <c r="G85">
        <v>35671.516000000003</v>
      </c>
      <c r="H85">
        <v>35656.516000000003</v>
      </c>
      <c r="I85">
        <v>35608.851999999999</v>
      </c>
      <c r="J85">
        <v>0</v>
      </c>
      <c r="K85">
        <v>0.69399999999999995</v>
      </c>
      <c r="L85">
        <v>0.30599999999999999</v>
      </c>
      <c r="M85">
        <v>1</v>
      </c>
      <c r="N85">
        <v>0</v>
      </c>
    </row>
    <row r="86" spans="5:14" x14ac:dyDescent="0.3">
      <c r="E86">
        <v>23</v>
      </c>
      <c r="F86">
        <v>-17515.152999999998</v>
      </c>
      <c r="G86">
        <v>35249.68</v>
      </c>
      <c r="H86">
        <v>35226.68</v>
      </c>
      <c r="I86">
        <v>35153.593999999997</v>
      </c>
      <c r="J86">
        <v>0</v>
      </c>
      <c r="K86">
        <v>0.501</v>
      </c>
      <c r="L86">
        <v>0.19400000000000001</v>
      </c>
      <c r="M86">
        <v>0.79800000000000004</v>
      </c>
      <c r="N86">
        <v>0</v>
      </c>
    </row>
    <row r="87" spans="5:14" x14ac:dyDescent="0.3">
      <c r="E87">
        <v>31</v>
      </c>
      <c r="F87">
        <v>-17414.419000000002</v>
      </c>
      <c r="G87">
        <v>35124.514999999999</v>
      </c>
      <c r="H87">
        <v>35093.514999999999</v>
      </c>
      <c r="I87">
        <v>34995.008000000002</v>
      </c>
      <c r="J87">
        <v>0</v>
      </c>
      <c r="K87">
        <v>0.52200000000000002</v>
      </c>
      <c r="L87">
        <v>9.4E-2</v>
      </c>
      <c r="M87">
        <v>0.80600000000000005</v>
      </c>
      <c r="N87">
        <v>0</v>
      </c>
    </row>
    <row r="88" spans="5:14" x14ac:dyDescent="0.3">
      <c r="E88">
        <v>39</v>
      </c>
      <c r="F88">
        <v>-17338.32</v>
      </c>
      <c r="G88">
        <v>35048.620999999999</v>
      </c>
      <c r="H88">
        <v>35009.620999999999</v>
      </c>
      <c r="I88">
        <v>34885.692000000003</v>
      </c>
      <c r="J88">
        <v>0</v>
      </c>
      <c r="K88">
        <v>0.39200000000000002</v>
      </c>
      <c r="L88">
        <v>8.3000000000000004E-2</v>
      </c>
      <c r="M88">
        <v>0.70599999999999996</v>
      </c>
      <c r="N88">
        <v>0.73599999999999999</v>
      </c>
    </row>
    <row r="89" spans="5:14" x14ac:dyDescent="0.3">
      <c r="E89">
        <v>47</v>
      </c>
      <c r="F89">
        <v>-17305.190999999999</v>
      </c>
      <c r="G89">
        <v>35058.667000000001</v>
      </c>
      <c r="H89">
        <v>35011.667000000001</v>
      </c>
      <c r="I89">
        <v>34862.317000000003</v>
      </c>
      <c r="J89">
        <v>1E-3</v>
      </c>
      <c r="K89">
        <v>0.35599999999999998</v>
      </c>
      <c r="L89">
        <v>7.6999999999999999E-2</v>
      </c>
      <c r="M89">
        <v>0.76500000000000001</v>
      </c>
      <c r="N89">
        <v>0.26400000000000001</v>
      </c>
    </row>
    <row r="100" spans="3:12" x14ac:dyDescent="0.3">
      <c r="E100" t="s">
        <v>142</v>
      </c>
      <c r="H100" t="s">
        <v>143</v>
      </c>
    </row>
    <row r="101" spans="3:12" x14ac:dyDescent="0.3">
      <c r="C101">
        <v>1</v>
      </c>
      <c r="D101" t="s">
        <v>133</v>
      </c>
      <c r="E101">
        <v>1559.9999399999999</v>
      </c>
      <c r="F101">
        <v>0.30558000000000002</v>
      </c>
      <c r="H101">
        <v>1560</v>
      </c>
      <c r="I101">
        <v>0.30558000000000002</v>
      </c>
    </row>
    <row r="102" spans="3:12" x14ac:dyDescent="0.3">
      <c r="C102">
        <v>0.84299999999999997</v>
      </c>
      <c r="D102" t="s">
        <v>67</v>
      </c>
      <c r="E102">
        <v>989.12868000000003</v>
      </c>
      <c r="F102">
        <v>0.19375999999999999</v>
      </c>
      <c r="H102">
        <v>749</v>
      </c>
      <c r="I102">
        <v>0.14671999999999999</v>
      </c>
    </row>
    <row r="103" spans="3:12" x14ac:dyDescent="0.3">
      <c r="C103">
        <v>0.872</v>
      </c>
      <c r="D103" t="s">
        <v>145</v>
      </c>
      <c r="E103">
        <v>2555.87138</v>
      </c>
      <c r="F103">
        <v>0.50065999999999999</v>
      </c>
      <c r="H103">
        <v>2796</v>
      </c>
      <c r="I103">
        <v>0.54769999999999996</v>
      </c>
    </row>
    <row r="105" spans="3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3:12" x14ac:dyDescent="0.3">
      <c r="C106">
        <v>1</v>
      </c>
      <c r="D106" s="67">
        <f>ROUND(F101,3)</f>
        <v>0.30599999999999999</v>
      </c>
      <c r="E106" s="67">
        <f>ROUND(I101,3)</f>
        <v>0.30599999999999999</v>
      </c>
      <c r="F106">
        <f>ROUND(C101,3)</f>
        <v>1</v>
      </c>
      <c r="G106" s="67" t="e">
        <f>ROUND((F106/(1-F106))/(D106/(1-D106)),3)</f>
        <v>#DIV/0!</v>
      </c>
      <c r="H106">
        <f>ROUND(H101/$L$106,3)</f>
        <v>67.825999999999993</v>
      </c>
      <c r="L106">
        <f>C6</f>
        <v>23</v>
      </c>
    </row>
    <row r="107" spans="3:12" x14ac:dyDescent="0.3">
      <c r="C107">
        <v>2</v>
      </c>
      <c r="D107" s="67">
        <f t="shared" ref="D107:D108" si="0">ROUND(F102,3)</f>
        <v>0.19400000000000001</v>
      </c>
      <c r="E107" s="67">
        <f t="shared" ref="E107:E108" si="1">ROUND(I102,3)</f>
        <v>0.14699999999999999</v>
      </c>
      <c r="F107">
        <f t="shared" ref="F107:F108" si="2">ROUND(C102,3)</f>
        <v>0.84299999999999997</v>
      </c>
      <c r="G107" s="67">
        <f>ROUND((F107/(1-F107))/(D107/(1-D107)),3)</f>
        <v>22.308</v>
      </c>
      <c r="H107">
        <f>ROUND(H102/$L$106,3)</f>
        <v>32.564999999999998</v>
      </c>
    </row>
    <row r="108" spans="3:12" x14ac:dyDescent="0.3">
      <c r="C108">
        <v>3</v>
      </c>
      <c r="D108" s="67">
        <f t="shared" si="0"/>
        <v>0.501</v>
      </c>
      <c r="E108" s="67">
        <f t="shared" si="1"/>
        <v>0.54800000000000004</v>
      </c>
      <c r="F108">
        <f t="shared" si="2"/>
        <v>0.872</v>
      </c>
      <c r="G108" s="67">
        <f>ROUND((F108/(1-F108))/(D108/(1-D108)),3)</f>
        <v>6.7850000000000001</v>
      </c>
      <c r="H108">
        <f>ROUND(H103/$L$106,3)</f>
        <v>121.565</v>
      </c>
    </row>
    <row r="110" spans="3:12" x14ac:dyDescent="0.3">
      <c r="C110" t="str">
        <f>C106&amp;"&amp;"&amp;D101&amp;"&amp;"&amp;D106&amp;"&amp;"&amp;E106&amp;"&amp;"&amp;F106&amp;"&amp;"&amp;"$&gt;$"&amp;"&amp;"&amp;H106</f>
        <v>1&amp;Indiff&amp;0,306&amp;0,306&amp;1&amp;$&gt;$&amp;67,826</v>
      </c>
    </row>
    <row r="111" spans="3:12" x14ac:dyDescent="0.3">
      <c r="C111" t="str">
        <f>C107&amp;"&amp;"&amp;D102&amp;"&amp;"&amp;D107&amp;"&amp;"&amp;E107&amp;"&amp;"&amp;F107&amp;"&amp;"&amp;G107&amp;"&amp;"&amp;H107</f>
        <v>2&amp;ExtreMiss&amp;0,194&amp;0,147&amp;0,843&amp;22,308&amp;32,565</v>
      </c>
    </row>
    <row r="112" spans="3:12" x14ac:dyDescent="0.3">
      <c r="C112" t="str">
        <f>C108&amp;"&amp;"&amp;D103&amp;"&amp;"&amp;D108&amp;"&amp;"&amp;E108&amp;"&amp;"&amp;F108&amp;"&amp;"&amp;G108&amp;"&amp;"&amp;H108</f>
        <v>3&amp;Optim&amp;0,501&amp;0,548&amp;0,872&amp;6,785&amp;121,565</v>
      </c>
    </row>
    <row r="114" spans="3:3" x14ac:dyDescent="0.3">
      <c r="C114" t="s">
        <v>190</v>
      </c>
    </row>
    <row r="115" spans="3:3" x14ac:dyDescent="0.3">
      <c r="C115" t="s">
        <v>191</v>
      </c>
    </row>
    <row r="116" spans="3:3" x14ac:dyDescent="0.3">
      <c r="C116" t="s">
        <v>192</v>
      </c>
    </row>
  </sheetData>
  <conditionalFormatting sqref="B28 B34:C34 B38:B39 B41:B48">
    <cfRule type="containsBlanks" priority="25" stopIfTrue="1">
      <formula>LEN(TRIM(B28))=0</formula>
    </cfRule>
  </conditionalFormatting>
  <conditionalFormatting sqref="C18 D19 E20">
    <cfRule type="cellIs" dxfId="78" priority="6" operator="lessThan">
      <formula>0.8</formula>
    </cfRule>
    <cfRule type="cellIs" dxfId="77" priority="8" operator="between">
      <formula>0.8</formula>
      <formula>0.85</formula>
    </cfRule>
    <cfRule type="cellIs" dxfId="76" priority="9" operator="greaterThanOrEqual">
      <formula>0.85</formula>
    </cfRule>
  </conditionalFormatting>
  <conditionalFormatting sqref="C18 D19">
    <cfRule type="cellIs" dxfId="75" priority="7" operator="equal">
      <formula>1</formula>
    </cfRule>
  </conditionalFormatting>
  <conditionalFormatting sqref="D28:D37">
    <cfRule type="containsBlanks" priority="4" stopIfTrue="1">
      <formula>LEN(TRIM(D28))=0</formula>
    </cfRule>
  </conditionalFormatting>
  <conditionalFormatting sqref="D40">
    <cfRule type="containsBlanks" priority="5" stopIfTrue="1">
      <formula>LEN(TRIM(D40))=0</formula>
    </cfRule>
  </conditionalFormatting>
  <conditionalFormatting sqref="D43">
    <cfRule type="containsBlanks" priority="3" stopIfTrue="1">
      <formula>LEN(TRIM(D43))=0</formula>
    </cfRule>
  </conditionalFormatting>
  <conditionalFormatting sqref="D46">
    <cfRule type="containsBlanks" priority="2" stopIfTrue="1">
      <formula>LEN(TRIM(D46))=0</formula>
    </cfRule>
  </conditionalFormatting>
  <conditionalFormatting sqref="H4:J11">
    <cfRule type="duplicateValues" dxfId="74" priority="1"/>
  </conditionalFormatting>
  <conditionalFormatting sqref="P4:P9">
    <cfRule type="cellIs" dxfId="73" priority="30" stopIfTrue="1" operator="between">
      <formula>0</formula>
      <formula>0.05</formula>
    </cfRule>
  </conditionalFormatting>
  <conditionalFormatting sqref="Q5:Q9">
    <cfRule type="cellIs" dxfId="72" priority="31" stopIfTrue="1" operator="between">
      <formula>0</formula>
      <formula>0.05</formula>
    </cfRule>
  </conditionalFormatting>
  <conditionalFormatting sqref="R6:R9">
    <cfRule type="cellIs" dxfId="71" priority="32" stopIfTrue="1" operator="between">
      <formula>0</formula>
      <formula>0.05</formula>
    </cfRule>
  </conditionalFormatting>
  <conditionalFormatting sqref="S7:S9">
    <cfRule type="cellIs" dxfId="70" priority="33" stopIfTrue="1" operator="between">
      <formula>0</formula>
      <formula>0.05</formula>
    </cfRule>
  </conditionalFormatting>
  <conditionalFormatting sqref="T8:T9">
    <cfRule type="cellIs" dxfId="69" priority="34" stopIfTrue="1" operator="between">
      <formula>0</formula>
      <formula>0.05</formula>
    </cfRule>
  </conditionalFormatting>
  <conditionalFormatting sqref="U9">
    <cfRule type="cellIs" dxfId="68" priority="35" stopIfTrue="1" operator="between">
      <formula>0</formula>
      <formula>0.05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51CB-5BFF-47F2-BAC1-0D9BA1302386}">
  <dimension ref="A1:H19"/>
  <sheetViews>
    <sheetView workbookViewId="0">
      <selection activeCell="I17" sqref="I17"/>
    </sheetView>
  </sheetViews>
  <sheetFormatPr defaultRowHeight="14.4" x14ac:dyDescent="0.3"/>
  <cols>
    <col min="1" max="1" width="32.77734375" customWidth="1"/>
    <col min="2" max="2" width="11.88671875" customWidth="1"/>
  </cols>
  <sheetData>
    <row r="1" spans="1:4" x14ac:dyDescent="0.3">
      <c r="A1" t="s">
        <v>84</v>
      </c>
      <c r="B1" t="s">
        <v>85</v>
      </c>
      <c r="C1" t="s">
        <v>86</v>
      </c>
      <c r="D1" t="s">
        <v>87</v>
      </c>
    </row>
    <row r="2" spans="1:4" x14ac:dyDescent="0.3">
      <c r="A2" t="s">
        <v>232</v>
      </c>
      <c r="B2" t="s">
        <v>222</v>
      </c>
      <c r="C2">
        <v>0.61302000000000001</v>
      </c>
      <c r="D2">
        <v>0.64363000000000004</v>
      </c>
    </row>
    <row r="3" spans="1:4" x14ac:dyDescent="0.3">
      <c r="A3" t="s">
        <v>232</v>
      </c>
      <c r="B3" t="s">
        <v>218</v>
      </c>
      <c r="C3">
        <v>8.1710000000000005E-2</v>
      </c>
      <c r="D3">
        <v>5.11E-2</v>
      </c>
    </row>
    <row r="4" spans="1:4" ht="15" thickBot="1" x14ac:dyDescent="0.35">
      <c r="A4" t="s">
        <v>232</v>
      </c>
      <c r="B4" s="87" t="s">
        <v>73</v>
      </c>
      <c r="C4" s="87">
        <v>0.30526999999999999</v>
      </c>
      <c r="D4" s="87">
        <v>0.30526999999999999</v>
      </c>
    </row>
    <row r="5" spans="1:4" x14ac:dyDescent="0.3">
      <c r="A5" t="s">
        <v>233</v>
      </c>
      <c r="B5" t="s">
        <v>222</v>
      </c>
      <c r="C5">
        <v>0.62309999999999999</v>
      </c>
      <c r="D5">
        <v>0.66376999999999997</v>
      </c>
    </row>
    <row r="6" spans="1:4" x14ac:dyDescent="0.3">
      <c r="A6" t="s">
        <v>233</v>
      </c>
      <c r="B6" t="s">
        <v>218</v>
      </c>
      <c r="C6">
        <v>0.11602999999999999</v>
      </c>
      <c r="D6">
        <v>7.5359999999999996E-2</v>
      </c>
    </row>
    <row r="7" spans="1:4" ht="15" thickBot="1" x14ac:dyDescent="0.35">
      <c r="A7" t="s">
        <v>233</v>
      </c>
      <c r="B7" s="87" t="s">
        <v>73</v>
      </c>
      <c r="C7" s="87">
        <v>0.26086999999999999</v>
      </c>
      <c r="D7" s="87">
        <v>0.26086999999999999</v>
      </c>
    </row>
    <row r="8" spans="1:4" x14ac:dyDescent="0.3">
      <c r="A8" t="s">
        <v>234</v>
      </c>
      <c r="B8" t="s">
        <v>222</v>
      </c>
      <c r="C8">
        <v>0.53127000000000002</v>
      </c>
      <c r="D8">
        <v>0.4894</v>
      </c>
    </row>
    <row r="9" spans="1:4" x14ac:dyDescent="0.3">
      <c r="A9" t="s">
        <v>234</v>
      </c>
      <c r="B9" t="s">
        <v>218</v>
      </c>
      <c r="C9">
        <v>0.19574</v>
      </c>
      <c r="D9">
        <v>0.23760999999999999</v>
      </c>
    </row>
    <row r="10" spans="1:4" ht="15" thickBot="1" x14ac:dyDescent="0.35">
      <c r="A10" t="s">
        <v>234</v>
      </c>
      <c r="B10" s="87" t="s">
        <v>73</v>
      </c>
      <c r="C10" s="87">
        <v>0.27299000000000001</v>
      </c>
      <c r="D10" s="87">
        <v>0.27299000000000001</v>
      </c>
    </row>
    <row r="11" spans="1:4" x14ac:dyDescent="0.3">
      <c r="A11" t="s">
        <v>229</v>
      </c>
      <c r="B11" t="s">
        <v>222</v>
      </c>
      <c r="C11">
        <v>0.57547999999999999</v>
      </c>
      <c r="D11">
        <v>0.63473999999999997</v>
      </c>
    </row>
    <row r="12" spans="1:4" x14ac:dyDescent="0.3">
      <c r="A12" t="s">
        <v>229</v>
      </c>
      <c r="B12" t="s">
        <v>218</v>
      </c>
      <c r="C12">
        <v>0.13453999999999999</v>
      </c>
      <c r="D12">
        <v>8.0949999999999994E-2</v>
      </c>
    </row>
    <row r="13" spans="1:4" ht="15" thickBot="1" x14ac:dyDescent="0.35">
      <c r="A13" t="s">
        <v>229</v>
      </c>
      <c r="B13" s="87" t="s">
        <v>73</v>
      </c>
      <c r="C13" s="87">
        <v>0.28998000000000002</v>
      </c>
      <c r="D13" s="87">
        <v>0.2843</v>
      </c>
    </row>
    <row r="14" spans="1:4" x14ac:dyDescent="0.3">
      <c r="A14" t="s">
        <v>230</v>
      </c>
      <c r="B14" t="s">
        <v>222</v>
      </c>
      <c r="C14">
        <v>0.50065999999999999</v>
      </c>
      <c r="D14">
        <v>0.54769999999999996</v>
      </c>
    </row>
    <row r="15" spans="1:4" x14ac:dyDescent="0.3">
      <c r="A15" t="s">
        <v>230</v>
      </c>
      <c r="B15" t="s">
        <v>218</v>
      </c>
      <c r="C15">
        <v>0.19375999999999999</v>
      </c>
      <c r="D15">
        <v>0.14671999999999999</v>
      </c>
    </row>
    <row r="16" spans="1:4" ht="15" thickBot="1" x14ac:dyDescent="0.35">
      <c r="A16" t="s">
        <v>230</v>
      </c>
      <c r="B16" s="87" t="s">
        <v>73</v>
      </c>
      <c r="C16" s="87">
        <v>0.30558000000000002</v>
      </c>
      <c r="D16" s="87">
        <v>0.30558000000000002</v>
      </c>
    </row>
    <row r="17" spans="1:8" x14ac:dyDescent="0.3">
      <c r="A17" t="s">
        <v>231</v>
      </c>
      <c r="B17" t="s">
        <v>222</v>
      </c>
      <c r="C17">
        <v>0.60687000000000002</v>
      </c>
      <c r="D17">
        <v>0.64556000000000002</v>
      </c>
    </row>
    <row r="18" spans="1:8" x14ac:dyDescent="0.3">
      <c r="A18" t="s">
        <v>231</v>
      </c>
      <c r="B18" t="s">
        <v>218</v>
      </c>
      <c r="C18">
        <v>0.15905</v>
      </c>
      <c r="D18">
        <v>0.12035999999999999</v>
      </c>
      <c r="H18" s="69"/>
    </row>
    <row r="19" spans="1:8" x14ac:dyDescent="0.3">
      <c r="A19" t="s">
        <v>231</v>
      </c>
      <c r="B19" t="s">
        <v>73</v>
      </c>
      <c r="C19">
        <v>0.23408000000000001</v>
      </c>
      <c r="D19">
        <v>0.23408000000000001</v>
      </c>
    </row>
  </sheetData>
  <autoFilter ref="A1:D19" xr:uid="{799451CB-5BFF-47F2-BAC1-0D9BA1302386}"/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6BC6-10DE-4D9F-A258-E1F71527F8BB}">
  <sheetPr filterMode="1"/>
  <dimension ref="A1:Y145"/>
  <sheetViews>
    <sheetView workbookViewId="0">
      <selection activeCell="F63" sqref="F63"/>
    </sheetView>
  </sheetViews>
  <sheetFormatPr defaultRowHeight="14.4" x14ac:dyDescent="0.3"/>
  <cols>
    <col min="4" max="4" width="35.88671875" customWidth="1"/>
  </cols>
  <sheetData>
    <row r="1" spans="1:13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</row>
    <row r="2" spans="1:13" hidden="1" x14ac:dyDescent="0.3">
      <c r="A2" t="s">
        <v>219</v>
      </c>
      <c r="B2" t="s">
        <v>235</v>
      </c>
      <c r="C2" t="s">
        <v>218</v>
      </c>
      <c r="D2" t="s">
        <v>91</v>
      </c>
      <c r="E2">
        <v>0.222</v>
      </c>
    </row>
    <row r="3" spans="1:13" hidden="1" x14ac:dyDescent="0.3">
      <c r="A3" t="s">
        <v>219</v>
      </c>
      <c r="B3" t="s">
        <v>235</v>
      </c>
      <c r="C3" t="s">
        <v>218</v>
      </c>
      <c r="D3" t="s">
        <v>90</v>
      </c>
      <c r="E3">
        <v>0.28199999999999997</v>
      </c>
    </row>
    <row r="4" spans="1:13" hidden="1" x14ac:dyDescent="0.3">
      <c r="A4" t="s">
        <v>219</v>
      </c>
      <c r="B4" t="s">
        <v>235</v>
      </c>
      <c r="C4" t="s">
        <v>218</v>
      </c>
      <c r="D4" t="s">
        <v>89</v>
      </c>
      <c r="E4">
        <v>0.5</v>
      </c>
      <c r="M4" s="74" t="s">
        <v>83</v>
      </c>
    </row>
    <row r="5" spans="1:13" hidden="1" x14ac:dyDescent="0.3">
      <c r="A5" t="s">
        <v>219</v>
      </c>
      <c r="B5" t="s">
        <v>235</v>
      </c>
      <c r="C5" t="s">
        <v>218</v>
      </c>
      <c r="D5" t="s">
        <v>88</v>
      </c>
      <c r="E5">
        <v>0.71299999999999997</v>
      </c>
      <c r="M5" t="s">
        <v>57</v>
      </c>
    </row>
    <row r="6" spans="1:13" hidden="1" x14ac:dyDescent="0.3">
      <c r="A6" t="s">
        <v>219</v>
      </c>
      <c r="B6" t="s">
        <v>235</v>
      </c>
      <c r="C6" t="s">
        <v>218</v>
      </c>
      <c r="D6" t="s">
        <v>81</v>
      </c>
      <c r="E6">
        <v>0.46600000000000003</v>
      </c>
      <c r="M6" t="s">
        <v>58</v>
      </c>
    </row>
    <row r="7" spans="1:13" hidden="1" x14ac:dyDescent="0.3">
      <c r="A7" t="s">
        <v>219</v>
      </c>
      <c r="B7" t="s">
        <v>235</v>
      </c>
      <c r="C7" t="s">
        <v>218</v>
      </c>
      <c r="D7" t="s">
        <v>82</v>
      </c>
      <c r="E7">
        <v>0.77</v>
      </c>
      <c r="M7" t="s">
        <v>59</v>
      </c>
    </row>
    <row r="8" spans="1:13" hidden="1" x14ac:dyDescent="0.3">
      <c r="A8" t="s">
        <v>219</v>
      </c>
      <c r="B8" t="s">
        <v>235</v>
      </c>
      <c r="C8" t="s">
        <v>218</v>
      </c>
      <c r="D8" t="s">
        <v>80</v>
      </c>
      <c r="E8">
        <v>0</v>
      </c>
      <c r="M8" t="s">
        <v>60</v>
      </c>
    </row>
    <row r="9" spans="1:13" x14ac:dyDescent="0.3">
      <c r="A9" t="s">
        <v>219</v>
      </c>
      <c r="B9" t="s">
        <v>235</v>
      </c>
      <c r="C9" t="s">
        <v>218</v>
      </c>
      <c r="D9" t="s">
        <v>38</v>
      </c>
      <c r="E9">
        <v>6.8000000000000005E-2</v>
      </c>
      <c r="M9" t="s">
        <v>61</v>
      </c>
    </row>
    <row r="10" spans="1:13" hidden="1" x14ac:dyDescent="0.3">
      <c r="A10" t="s">
        <v>219</v>
      </c>
      <c r="B10" t="s">
        <v>235</v>
      </c>
      <c r="C10" t="s">
        <v>218</v>
      </c>
      <c r="D10" t="s">
        <v>48</v>
      </c>
      <c r="E10">
        <v>0.08</v>
      </c>
      <c r="M10" t="s">
        <v>63</v>
      </c>
    </row>
    <row r="11" spans="1:13" hidden="1" x14ac:dyDescent="0.3">
      <c r="A11" t="s">
        <v>219</v>
      </c>
      <c r="B11" t="s">
        <v>235</v>
      </c>
      <c r="C11" t="s">
        <v>222</v>
      </c>
      <c r="D11" t="s">
        <v>91</v>
      </c>
      <c r="E11">
        <v>0.16300000000000001</v>
      </c>
      <c r="M11" t="s">
        <v>62</v>
      </c>
    </row>
    <row r="12" spans="1:13" hidden="1" x14ac:dyDescent="0.3">
      <c r="A12" t="s">
        <v>219</v>
      </c>
      <c r="B12" t="s">
        <v>235</v>
      </c>
      <c r="C12" t="s">
        <v>222</v>
      </c>
      <c r="D12" t="s">
        <v>90</v>
      </c>
      <c r="E12">
        <v>8.3000000000000004E-2</v>
      </c>
      <c r="M12" t="s">
        <v>38</v>
      </c>
    </row>
    <row r="13" spans="1:13" hidden="1" x14ac:dyDescent="0.3">
      <c r="A13" t="s">
        <v>219</v>
      </c>
      <c r="B13" t="s">
        <v>235</v>
      </c>
      <c r="C13" t="s">
        <v>222</v>
      </c>
      <c r="D13" t="s">
        <v>89</v>
      </c>
      <c r="E13">
        <v>8.2000000000000003E-2</v>
      </c>
      <c r="M13" t="s">
        <v>65</v>
      </c>
    </row>
    <row r="14" spans="1:13" hidden="1" x14ac:dyDescent="0.3">
      <c r="A14" t="s">
        <v>219</v>
      </c>
      <c r="B14" t="s">
        <v>235</v>
      </c>
      <c r="C14" t="s">
        <v>222</v>
      </c>
      <c r="D14" t="s">
        <v>88</v>
      </c>
      <c r="E14">
        <v>6.3E-2</v>
      </c>
    </row>
    <row r="15" spans="1:13" hidden="1" x14ac:dyDescent="0.3">
      <c r="A15" t="s">
        <v>219</v>
      </c>
      <c r="B15" t="s">
        <v>235</v>
      </c>
      <c r="C15" t="s">
        <v>222</v>
      </c>
      <c r="D15" t="s">
        <v>81</v>
      </c>
      <c r="E15">
        <v>0.35</v>
      </c>
    </row>
    <row r="16" spans="1:13" hidden="1" x14ac:dyDescent="0.3">
      <c r="A16" t="s">
        <v>219</v>
      </c>
      <c r="B16" t="s">
        <v>235</v>
      </c>
      <c r="C16" t="s">
        <v>222</v>
      </c>
      <c r="D16" t="s">
        <v>82</v>
      </c>
      <c r="E16">
        <v>0.79200000000000004</v>
      </c>
    </row>
    <row r="17" spans="1:25" hidden="1" x14ac:dyDescent="0.3">
      <c r="A17" t="s">
        <v>219</v>
      </c>
      <c r="B17" t="s">
        <v>235</v>
      </c>
      <c r="C17" t="s">
        <v>222</v>
      </c>
      <c r="D17" t="s">
        <v>80</v>
      </c>
      <c r="E17">
        <v>0</v>
      </c>
    </row>
    <row r="18" spans="1:25" ht="15.6" x14ac:dyDescent="0.3">
      <c r="A18" t="s">
        <v>219</v>
      </c>
      <c r="B18" t="s">
        <v>235</v>
      </c>
      <c r="C18" t="s">
        <v>222</v>
      </c>
      <c r="D18" t="s">
        <v>38</v>
      </c>
      <c r="E18">
        <v>2.7E-2</v>
      </c>
      <c r="H18" s="62"/>
      <c r="L18" s="59"/>
      <c r="M18" s="59"/>
      <c r="N18" s="59"/>
      <c r="O18" s="59"/>
      <c r="Q18" s="59"/>
      <c r="R18" s="59"/>
      <c r="S18" s="59"/>
      <c r="T18" s="59"/>
      <c r="V18" s="59"/>
      <c r="W18" s="59"/>
      <c r="X18" s="59"/>
      <c r="Y18" s="59"/>
    </row>
    <row r="19" spans="1:25" ht="15.6" hidden="1" x14ac:dyDescent="0.3">
      <c r="A19" t="s">
        <v>219</v>
      </c>
      <c r="B19" t="s">
        <v>235</v>
      </c>
      <c r="C19" t="s">
        <v>222</v>
      </c>
      <c r="D19" t="s">
        <v>48</v>
      </c>
      <c r="E19">
        <v>3.7999999999999999E-2</v>
      </c>
      <c r="H19" s="65"/>
    </row>
    <row r="20" spans="1:25" ht="15.6" hidden="1" x14ac:dyDescent="0.3">
      <c r="A20" t="s">
        <v>219</v>
      </c>
      <c r="B20" t="s">
        <v>235</v>
      </c>
      <c r="C20" t="s">
        <v>73</v>
      </c>
      <c r="D20" t="s">
        <v>91</v>
      </c>
      <c r="E20">
        <v>5.8999999999999997E-2</v>
      </c>
      <c r="H20" s="65"/>
    </row>
    <row r="21" spans="1:25" ht="15.6" hidden="1" x14ac:dyDescent="0.3">
      <c r="A21" t="s">
        <v>219</v>
      </c>
      <c r="B21" t="s">
        <v>235</v>
      </c>
      <c r="C21" t="s">
        <v>73</v>
      </c>
      <c r="D21" t="s">
        <v>90</v>
      </c>
      <c r="E21">
        <v>0.22</v>
      </c>
      <c r="H21" s="64"/>
    </row>
    <row r="22" spans="1:25" ht="15.6" hidden="1" x14ac:dyDescent="0.3">
      <c r="A22" t="s">
        <v>219</v>
      </c>
      <c r="B22" t="s">
        <v>235</v>
      </c>
      <c r="C22" t="s">
        <v>73</v>
      </c>
      <c r="D22" t="s">
        <v>89</v>
      </c>
      <c r="E22">
        <v>0.121</v>
      </c>
      <c r="H22" s="65"/>
    </row>
    <row r="23" spans="1:25" ht="15.6" hidden="1" x14ac:dyDescent="0.3">
      <c r="A23" t="s">
        <v>219</v>
      </c>
      <c r="B23" t="s">
        <v>235</v>
      </c>
      <c r="C23" t="s">
        <v>73</v>
      </c>
      <c r="D23" t="s">
        <v>88</v>
      </c>
      <c r="E23">
        <v>0.11700000000000001</v>
      </c>
      <c r="H23" s="65"/>
    </row>
    <row r="24" spans="1:25" ht="15.6" hidden="1" x14ac:dyDescent="0.3">
      <c r="A24" t="s">
        <v>219</v>
      </c>
      <c r="B24" t="s">
        <v>235</v>
      </c>
      <c r="C24" t="s">
        <v>73</v>
      </c>
      <c r="D24" t="s">
        <v>81</v>
      </c>
      <c r="E24">
        <v>0.496</v>
      </c>
      <c r="H24" s="62"/>
    </row>
    <row r="25" spans="1:25" ht="15.6" hidden="1" x14ac:dyDescent="0.3">
      <c r="A25" t="s">
        <v>219</v>
      </c>
      <c r="B25" t="s">
        <v>235</v>
      </c>
      <c r="C25" t="s">
        <v>73</v>
      </c>
      <c r="D25" t="s">
        <v>82</v>
      </c>
      <c r="E25">
        <v>0</v>
      </c>
      <c r="H25" s="63"/>
    </row>
    <row r="26" spans="1:25" ht="15.6" hidden="1" x14ac:dyDescent="0.3">
      <c r="A26" t="s">
        <v>219</v>
      </c>
      <c r="B26" t="s">
        <v>235</v>
      </c>
      <c r="C26" t="s">
        <v>73</v>
      </c>
      <c r="D26" t="s">
        <v>80</v>
      </c>
      <c r="E26">
        <v>1</v>
      </c>
      <c r="H26" s="65"/>
    </row>
    <row r="27" spans="1:25" ht="15.6" x14ac:dyDescent="0.3">
      <c r="A27" t="s">
        <v>219</v>
      </c>
      <c r="B27" t="s">
        <v>235</v>
      </c>
      <c r="C27" t="s">
        <v>73</v>
      </c>
      <c r="D27" t="s">
        <v>38</v>
      </c>
      <c r="E27">
        <v>3.2000000000000001E-2</v>
      </c>
      <c r="F27" t="s">
        <v>241</v>
      </c>
      <c r="H27" s="62"/>
    </row>
    <row r="28" spans="1:25" ht="15" hidden="1" thickBot="1" x14ac:dyDescent="0.35">
      <c r="A28" t="s">
        <v>219</v>
      </c>
      <c r="B28" s="87" t="s">
        <v>235</v>
      </c>
      <c r="C28" s="87" t="s">
        <v>73</v>
      </c>
      <c r="D28" s="87" t="s">
        <v>48</v>
      </c>
      <c r="E28" s="87">
        <v>6.8000000000000005E-2</v>
      </c>
    </row>
    <row r="29" spans="1:25" hidden="1" x14ac:dyDescent="0.3">
      <c r="A29" t="s">
        <v>220</v>
      </c>
      <c r="B29" t="s">
        <v>235</v>
      </c>
      <c r="C29" t="s">
        <v>218</v>
      </c>
      <c r="D29" t="s">
        <v>91</v>
      </c>
      <c r="E29">
        <v>0.22900000000000001</v>
      </c>
    </row>
    <row r="30" spans="1:25" ht="15.6" hidden="1" x14ac:dyDescent="0.3">
      <c r="A30" t="s">
        <v>220</v>
      </c>
      <c r="B30" t="s">
        <v>235</v>
      </c>
      <c r="C30" t="s">
        <v>218</v>
      </c>
      <c r="D30" t="s">
        <v>90</v>
      </c>
      <c r="E30">
        <v>0.17399999999999999</v>
      </c>
      <c r="G30" s="62"/>
      <c r="K30" s="59"/>
      <c r="L30" s="59"/>
      <c r="M30" s="59"/>
      <c r="N30" s="59"/>
      <c r="P30" s="59"/>
      <c r="Q30" s="59"/>
      <c r="R30" s="59"/>
      <c r="S30" s="59"/>
      <c r="U30" s="59"/>
      <c r="V30" s="59"/>
      <c r="W30" s="59"/>
      <c r="X30" s="59"/>
    </row>
    <row r="31" spans="1:25" ht="15.6" hidden="1" x14ac:dyDescent="0.3">
      <c r="A31" t="s">
        <v>220</v>
      </c>
      <c r="B31" t="s">
        <v>235</v>
      </c>
      <c r="C31" t="s">
        <v>218</v>
      </c>
      <c r="D31" t="s">
        <v>89</v>
      </c>
      <c r="E31">
        <v>0.5</v>
      </c>
      <c r="G31" s="65"/>
      <c r="Y31" s="59"/>
    </row>
    <row r="32" spans="1:25" ht="15.6" hidden="1" x14ac:dyDescent="0.3">
      <c r="A32" s="93" t="s">
        <v>219</v>
      </c>
      <c r="B32" s="93" t="s">
        <v>228</v>
      </c>
      <c r="C32" s="93" t="s">
        <v>218</v>
      </c>
      <c r="D32" s="93" t="s">
        <v>88</v>
      </c>
      <c r="E32" s="93">
        <v>0.753</v>
      </c>
      <c r="G32" s="65"/>
    </row>
    <row r="33" spans="1:7" ht="15.6" hidden="1" x14ac:dyDescent="0.3">
      <c r="A33" t="s">
        <v>220</v>
      </c>
      <c r="B33" t="s">
        <v>235</v>
      </c>
      <c r="C33" t="s">
        <v>218</v>
      </c>
      <c r="D33" t="s">
        <v>81</v>
      </c>
      <c r="E33">
        <v>0.27500000000000002</v>
      </c>
      <c r="G33" s="64"/>
    </row>
    <row r="34" spans="1:7" ht="15.6" hidden="1" x14ac:dyDescent="0.3">
      <c r="A34" t="s">
        <v>220</v>
      </c>
      <c r="B34" t="s">
        <v>235</v>
      </c>
      <c r="C34" t="s">
        <v>218</v>
      </c>
      <c r="D34" t="s">
        <v>82</v>
      </c>
      <c r="E34">
        <v>0.67200000000000004</v>
      </c>
      <c r="G34" s="65"/>
    </row>
    <row r="35" spans="1:7" ht="15.6" hidden="1" x14ac:dyDescent="0.3">
      <c r="A35" t="s">
        <v>220</v>
      </c>
      <c r="B35" t="s">
        <v>235</v>
      </c>
      <c r="C35" t="s">
        <v>218</v>
      </c>
      <c r="D35" t="s">
        <v>80</v>
      </c>
      <c r="E35">
        <v>0</v>
      </c>
      <c r="G35" s="65"/>
    </row>
    <row r="36" spans="1:7" ht="15.6" x14ac:dyDescent="0.3">
      <c r="A36" t="s">
        <v>220</v>
      </c>
      <c r="B36" t="s">
        <v>235</v>
      </c>
      <c r="C36" t="s">
        <v>218</v>
      </c>
      <c r="D36" t="s">
        <v>38</v>
      </c>
      <c r="E36">
        <v>1.7999999999999999E-2</v>
      </c>
      <c r="G36" s="62"/>
    </row>
    <row r="37" spans="1:7" ht="15.6" hidden="1" x14ac:dyDescent="0.3">
      <c r="A37" t="s">
        <v>220</v>
      </c>
      <c r="B37" t="s">
        <v>235</v>
      </c>
      <c r="C37" t="s">
        <v>218</v>
      </c>
      <c r="D37" t="s">
        <v>48</v>
      </c>
      <c r="E37">
        <v>7.1999999999999995E-2</v>
      </c>
      <c r="G37" s="63"/>
    </row>
    <row r="38" spans="1:7" ht="15.6" hidden="1" x14ac:dyDescent="0.3">
      <c r="A38" t="s">
        <v>220</v>
      </c>
      <c r="B38" t="s">
        <v>235</v>
      </c>
      <c r="C38" t="s">
        <v>222</v>
      </c>
      <c r="D38" t="s">
        <v>91</v>
      </c>
      <c r="E38">
        <v>0.17899999999999999</v>
      </c>
      <c r="G38" s="65"/>
    </row>
    <row r="39" spans="1:7" ht="15.6" hidden="1" x14ac:dyDescent="0.3">
      <c r="A39" t="s">
        <v>220</v>
      </c>
      <c r="B39" t="s">
        <v>235</v>
      </c>
      <c r="C39" t="s">
        <v>222</v>
      </c>
      <c r="D39" t="s">
        <v>90</v>
      </c>
      <c r="E39">
        <v>7.4999999999999997E-2</v>
      </c>
      <c r="G39" s="62"/>
    </row>
    <row r="40" spans="1:7" hidden="1" x14ac:dyDescent="0.3">
      <c r="A40" t="s">
        <v>220</v>
      </c>
      <c r="B40" t="s">
        <v>235</v>
      </c>
      <c r="C40" t="s">
        <v>222</v>
      </c>
      <c r="D40" t="s">
        <v>89</v>
      </c>
      <c r="E40">
        <v>2.1999999999999999E-2</v>
      </c>
    </row>
    <row r="41" spans="1:7" hidden="1" x14ac:dyDescent="0.3">
      <c r="A41" t="s">
        <v>220</v>
      </c>
      <c r="B41" t="s">
        <v>235</v>
      </c>
      <c r="C41" t="s">
        <v>222</v>
      </c>
      <c r="D41" t="s">
        <v>88</v>
      </c>
      <c r="E41">
        <v>0.17399999999999999</v>
      </c>
    </row>
    <row r="42" spans="1:7" ht="15.6" hidden="1" x14ac:dyDescent="0.3">
      <c r="A42" t="s">
        <v>220</v>
      </c>
      <c r="B42" t="s">
        <v>235</v>
      </c>
      <c r="C42" t="s">
        <v>222</v>
      </c>
      <c r="D42" t="s">
        <v>81</v>
      </c>
      <c r="E42">
        <v>0.14899999999999999</v>
      </c>
      <c r="G42" s="62"/>
    </row>
    <row r="43" spans="1:7" hidden="1" x14ac:dyDescent="0.3">
      <c r="A43" t="s">
        <v>220</v>
      </c>
      <c r="B43" t="s">
        <v>235</v>
      </c>
      <c r="C43" t="s">
        <v>222</v>
      </c>
      <c r="D43" t="s">
        <v>82</v>
      </c>
      <c r="E43">
        <v>0.67800000000000005</v>
      </c>
    </row>
    <row r="44" spans="1:7" hidden="1" x14ac:dyDescent="0.3">
      <c r="A44" t="s">
        <v>220</v>
      </c>
      <c r="B44" t="s">
        <v>235</v>
      </c>
      <c r="C44" t="s">
        <v>222</v>
      </c>
      <c r="D44" t="s">
        <v>80</v>
      </c>
      <c r="E44">
        <v>0</v>
      </c>
    </row>
    <row r="45" spans="1:7" ht="15.6" x14ac:dyDescent="0.3">
      <c r="A45" t="s">
        <v>220</v>
      </c>
      <c r="B45" t="s">
        <v>235</v>
      </c>
      <c r="C45" t="s">
        <v>222</v>
      </c>
      <c r="D45" t="s">
        <v>38</v>
      </c>
      <c r="E45">
        <v>1.9E-2</v>
      </c>
      <c r="F45" t="s">
        <v>242</v>
      </c>
      <c r="G45" s="62"/>
    </row>
    <row r="46" spans="1:7" hidden="1" x14ac:dyDescent="0.3">
      <c r="A46" t="s">
        <v>220</v>
      </c>
      <c r="B46" t="s">
        <v>235</v>
      </c>
      <c r="C46" t="s">
        <v>222</v>
      </c>
      <c r="D46" t="s">
        <v>48</v>
      </c>
      <c r="E46">
        <v>4.2000000000000003E-2</v>
      </c>
    </row>
    <row r="47" spans="1:7" hidden="1" x14ac:dyDescent="0.3">
      <c r="A47" t="s">
        <v>220</v>
      </c>
      <c r="B47" t="s">
        <v>235</v>
      </c>
      <c r="C47" t="s">
        <v>73</v>
      </c>
      <c r="D47" t="s">
        <v>91</v>
      </c>
      <c r="E47">
        <v>5.5E-2</v>
      </c>
    </row>
    <row r="48" spans="1:7" ht="15.6" hidden="1" x14ac:dyDescent="0.3">
      <c r="A48" t="s">
        <v>220</v>
      </c>
      <c r="B48" t="s">
        <v>235</v>
      </c>
      <c r="C48" t="s">
        <v>73</v>
      </c>
      <c r="D48" t="s">
        <v>90</v>
      </c>
      <c r="E48">
        <v>0.251</v>
      </c>
      <c r="G48" s="62"/>
    </row>
    <row r="49" spans="1:7" hidden="1" x14ac:dyDescent="0.3">
      <c r="A49" t="s">
        <v>220</v>
      </c>
      <c r="B49" t="s">
        <v>235</v>
      </c>
      <c r="C49" t="s">
        <v>73</v>
      </c>
      <c r="D49" t="s">
        <v>89</v>
      </c>
      <c r="E49">
        <v>0.123</v>
      </c>
    </row>
    <row r="50" spans="1:7" hidden="1" x14ac:dyDescent="0.3">
      <c r="A50" t="s">
        <v>220</v>
      </c>
      <c r="B50" t="s">
        <v>235</v>
      </c>
      <c r="C50" t="s">
        <v>73</v>
      </c>
      <c r="D50" t="s">
        <v>88</v>
      </c>
      <c r="E50">
        <v>0.28799999999999998</v>
      </c>
    </row>
    <row r="51" spans="1:7" hidden="1" x14ac:dyDescent="0.3">
      <c r="A51" t="s">
        <v>220</v>
      </c>
      <c r="B51" t="s">
        <v>235</v>
      </c>
      <c r="C51" t="s">
        <v>73</v>
      </c>
      <c r="D51" t="s">
        <v>81</v>
      </c>
      <c r="E51">
        <v>0.27600000000000002</v>
      </c>
      <c r="G51" s="66"/>
    </row>
    <row r="52" spans="1:7" hidden="1" x14ac:dyDescent="0.3">
      <c r="A52" t="s">
        <v>220</v>
      </c>
      <c r="B52" t="s">
        <v>235</v>
      </c>
      <c r="C52" t="s">
        <v>73</v>
      </c>
      <c r="D52" t="s">
        <v>82</v>
      </c>
      <c r="E52">
        <v>0</v>
      </c>
    </row>
    <row r="53" spans="1:7" hidden="1" x14ac:dyDescent="0.3">
      <c r="A53" t="s">
        <v>220</v>
      </c>
      <c r="B53" t="s">
        <v>235</v>
      </c>
      <c r="C53" t="s">
        <v>73</v>
      </c>
      <c r="D53" t="s">
        <v>80</v>
      </c>
      <c r="E53">
        <v>1</v>
      </c>
    </row>
    <row r="54" spans="1:7" x14ac:dyDescent="0.3">
      <c r="A54" t="s">
        <v>220</v>
      </c>
      <c r="B54" t="s">
        <v>235</v>
      </c>
      <c r="C54" t="s">
        <v>73</v>
      </c>
      <c r="D54" t="s">
        <v>38</v>
      </c>
      <c r="E54">
        <v>1.2999999999999999E-2</v>
      </c>
      <c r="G54" s="66"/>
    </row>
    <row r="55" spans="1:7" ht="15" hidden="1" thickBot="1" x14ac:dyDescent="0.35">
      <c r="A55" t="s">
        <v>220</v>
      </c>
      <c r="B55" s="87" t="s">
        <v>235</v>
      </c>
      <c r="C55" s="87" t="s">
        <v>73</v>
      </c>
      <c r="D55" s="87" t="s">
        <v>48</v>
      </c>
      <c r="E55" s="87">
        <v>8.8999999999999996E-2</v>
      </c>
    </row>
    <row r="56" spans="1:7" hidden="1" x14ac:dyDescent="0.3">
      <c r="A56" s="93" t="s">
        <v>221</v>
      </c>
      <c r="B56" s="93" t="s">
        <v>235</v>
      </c>
      <c r="C56" s="93" t="s">
        <v>218</v>
      </c>
      <c r="D56" s="93" t="s">
        <v>91</v>
      </c>
      <c r="E56" s="93">
        <v>0.183</v>
      </c>
    </row>
    <row r="57" spans="1:7" hidden="1" x14ac:dyDescent="0.3">
      <c r="A57" s="93" t="s">
        <v>221</v>
      </c>
      <c r="B57" s="93" t="s">
        <v>235</v>
      </c>
      <c r="C57" s="93" t="s">
        <v>218</v>
      </c>
      <c r="D57" s="93" t="s">
        <v>90</v>
      </c>
      <c r="E57" s="93">
        <v>7.3999999999999996E-2</v>
      </c>
    </row>
    <row r="58" spans="1:7" hidden="1" x14ac:dyDescent="0.3">
      <c r="A58" s="93" t="s">
        <v>221</v>
      </c>
      <c r="B58" s="93" t="s">
        <v>235</v>
      </c>
      <c r="C58" s="93" t="s">
        <v>218</v>
      </c>
      <c r="D58" s="93" t="s">
        <v>89</v>
      </c>
      <c r="E58" s="93">
        <v>0.42299999999999999</v>
      </c>
    </row>
    <row r="59" spans="1:7" hidden="1" x14ac:dyDescent="0.3">
      <c r="A59" t="s">
        <v>220</v>
      </c>
      <c r="B59" t="s">
        <v>235</v>
      </c>
      <c r="C59" t="s">
        <v>218</v>
      </c>
      <c r="D59" t="s">
        <v>88</v>
      </c>
      <c r="E59">
        <v>0.97399999999999998</v>
      </c>
    </row>
    <row r="60" spans="1:7" hidden="1" x14ac:dyDescent="0.3">
      <c r="A60" s="93" t="s">
        <v>221</v>
      </c>
      <c r="B60" s="93" t="s">
        <v>235</v>
      </c>
      <c r="C60" s="93" t="s">
        <v>218</v>
      </c>
      <c r="D60" s="93" t="s">
        <v>81</v>
      </c>
      <c r="E60" s="93">
        <v>0.14199999999999999</v>
      </c>
    </row>
    <row r="61" spans="1:7" hidden="1" x14ac:dyDescent="0.3">
      <c r="A61" s="93" t="s">
        <v>221</v>
      </c>
      <c r="B61" s="93" t="s">
        <v>235</v>
      </c>
      <c r="C61" s="93" t="s">
        <v>218</v>
      </c>
      <c r="D61" s="93" t="s">
        <v>82</v>
      </c>
      <c r="E61" s="93">
        <v>0.86599999999999999</v>
      </c>
    </row>
    <row r="62" spans="1:7" hidden="1" x14ac:dyDescent="0.3">
      <c r="A62" s="93" t="s">
        <v>221</v>
      </c>
      <c r="B62" s="93" t="s">
        <v>235</v>
      </c>
      <c r="C62" s="93" t="s">
        <v>218</v>
      </c>
      <c r="D62" s="93" t="s">
        <v>80</v>
      </c>
      <c r="E62" s="93">
        <v>0</v>
      </c>
    </row>
    <row r="63" spans="1:7" x14ac:dyDescent="0.3">
      <c r="A63" s="93" t="s">
        <v>221</v>
      </c>
      <c r="B63" s="93" t="s">
        <v>235</v>
      </c>
      <c r="C63" s="93" t="s">
        <v>218</v>
      </c>
      <c r="D63" s="93" t="s">
        <v>38</v>
      </c>
      <c r="E63" s="93">
        <v>2.9000000000000001E-2</v>
      </c>
    </row>
    <row r="64" spans="1:7" hidden="1" x14ac:dyDescent="0.3">
      <c r="A64" s="93" t="s">
        <v>221</v>
      </c>
      <c r="B64" s="93" t="s">
        <v>235</v>
      </c>
      <c r="C64" s="93" t="s">
        <v>218</v>
      </c>
      <c r="D64" s="93" t="s">
        <v>48</v>
      </c>
      <c r="E64" s="93">
        <v>3.9E-2</v>
      </c>
    </row>
    <row r="65" spans="1:5" hidden="1" x14ac:dyDescent="0.3">
      <c r="A65" t="s">
        <v>221</v>
      </c>
      <c r="B65" t="s">
        <v>235</v>
      </c>
      <c r="C65" t="s">
        <v>222</v>
      </c>
      <c r="D65" t="s">
        <v>91</v>
      </c>
      <c r="E65">
        <v>0.18</v>
      </c>
    </row>
    <row r="66" spans="1:5" hidden="1" x14ac:dyDescent="0.3">
      <c r="A66" t="s">
        <v>221</v>
      </c>
      <c r="B66" t="s">
        <v>235</v>
      </c>
      <c r="C66" t="s">
        <v>222</v>
      </c>
      <c r="D66" t="s">
        <v>90</v>
      </c>
      <c r="E66">
        <v>4.2999999999999997E-2</v>
      </c>
    </row>
    <row r="67" spans="1:5" hidden="1" x14ac:dyDescent="0.3">
      <c r="A67" t="s">
        <v>221</v>
      </c>
      <c r="B67" t="s">
        <v>235</v>
      </c>
      <c r="C67" t="s">
        <v>222</v>
      </c>
      <c r="D67" t="s">
        <v>89</v>
      </c>
      <c r="E67">
        <v>2.5000000000000001E-2</v>
      </c>
    </row>
    <row r="68" spans="1:5" hidden="1" x14ac:dyDescent="0.3">
      <c r="A68" t="s">
        <v>221</v>
      </c>
      <c r="B68" t="s">
        <v>235</v>
      </c>
      <c r="C68" t="s">
        <v>222</v>
      </c>
      <c r="D68" t="s">
        <v>88</v>
      </c>
      <c r="E68">
        <v>7.9000000000000001E-2</v>
      </c>
    </row>
    <row r="69" spans="1:5" hidden="1" x14ac:dyDescent="0.3">
      <c r="A69" t="s">
        <v>221</v>
      </c>
      <c r="B69" t="s">
        <v>235</v>
      </c>
      <c r="C69" t="s">
        <v>222</v>
      </c>
      <c r="D69" t="s">
        <v>81</v>
      </c>
      <c r="E69">
        <v>0.154</v>
      </c>
    </row>
    <row r="70" spans="1:5" hidden="1" x14ac:dyDescent="0.3">
      <c r="A70" t="s">
        <v>221</v>
      </c>
      <c r="B70" t="s">
        <v>235</v>
      </c>
      <c r="C70" t="s">
        <v>222</v>
      </c>
      <c r="D70" t="s">
        <v>82</v>
      </c>
      <c r="E70">
        <v>0.9</v>
      </c>
    </row>
    <row r="71" spans="1:5" hidden="1" x14ac:dyDescent="0.3">
      <c r="A71" t="s">
        <v>221</v>
      </c>
      <c r="B71" t="s">
        <v>235</v>
      </c>
      <c r="C71" t="s">
        <v>222</v>
      </c>
      <c r="D71" t="s">
        <v>80</v>
      </c>
      <c r="E71">
        <v>0</v>
      </c>
    </row>
    <row r="72" spans="1:5" x14ac:dyDescent="0.3">
      <c r="A72" t="s">
        <v>221</v>
      </c>
      <c r="B72" t="s">
        <v>235</v>
      </c>
      <c r="C72" t="s">
        <v>222</v>
      </c>
      <c r="D72" t="s">
        <v>38</v>
      </c>
      <c r="E72">
        <v>1.4999999999999999E-2</v>
      </c>
    </row>
    <row r="73" spans="1:5" hidden="1" x14ac:dyDescent="0.3">
      <c r="A73" t="s">
        <v>221</v>
      </c>
      <c r="B73" t="s">
        <v>235</v>
      </c>
      <c r="C73" t="s">
        <v>222</v>
      </c>
      <c r="D73" t="s">
        <v>48</v>
      </c>
      <c r="E73">
        <v>4.2000000000000003E-2</v>
      </c>
    </row>
    <row r="74" spans="1:5" hidden="1" x14ac:dyDescent="0.3">
      <c r="A74" s="93" t="s">
        <v>221</v>
      </c>
      <c r="B74" s="93" t="s">
        <v>235</v>
      </c>
      <c r="C74" s="93" t="s">
        <v>73</v>
      </c>
      <c r="D74" s="93" t="s">
        <v>91</v>
      </c>
      <c r="E74" s="93">
        <v>6.6000000000000003E-2</v>
      </c>
    </row>
    <row r="75" spans="1:5" hidden="1" x14ac:dyDescent="0.3">
      <c r="A75" s="93" t="s">
        <v>221</v>
      </c>
      <c r="B75" s="93" t="s">
        <v>235</v>
      </c>
      <c r="C75" s="93" t="s">
        <v>73</v>
      </c>
      <c r="D75" s="93" t="s">
        <v>90</v>
      </c>
      <c r="E75" s="93">
        <v>0.38600000000000001</v>
      </c>
    </row>
    <row r="76" spans="1:5" hidden="1" x14ac:dyDescent="0.3">
      <c r="A76" s="93" t="s">
        <v>221</v>
      </c>
      <c r="B76" s="93" t="s">
        <v>235</v>
      </c>
      <c r="C76" s="93" t="s">
        <v>73</v>
      </c>
      <c r="D76" s="93" t="s">
        <v>89</v>
      </c>
      <c r="E76" s="93">
        <v>0.19700000000000001</v>
      </c>
    </row>
    <row r="77" spans="1:5" hidden="1" x14ac:dyDescent="0.3">
      <c r="A77" s="93" t="s">
        <v>221</v>
      </c>
      <c r="B77" s="93" t="s">
        <v>235</v>
      </c>
      <c r="C77" s="93" t="s">
        <v>73</v>
      </c>
      <c r="D77" s="93" t="s">
        <v>88</v>
      </c>
      <c r="E77" s="93">
        <v>0.373</v>
      </c>
    </row>
    <row r="78" spans="1:5" hidden="1" x14ac:dyDescent="0.3">
      <c r="A78" s="93" t="s">
        <v>221</v>
      </c>
      <c r="B78" s="93" t="s">
        <v>235</v>
      </c>
      <c r="C78" s="93" t="s">
        <v>73</v>
      </c>
      <c r="D78" s="93" t="s">
        <v>81</v>
      </c>
      <c r="E78" s="93">
        <v>0.41099999999999998</v>
      </c>
    </row>
    <row r="79" spans="1:5" hidden="1" x14ac:dyDescent="0.3">
      <c r="A79" s="93" t="s">
        <v>221</v>
      </c>
      <c r="B79" s="93" t="s">
        <v>235</v>
      </c>
      <c r="C79" s="93" t="s">
        <v>73</v>
      </c>
      <c r="D79" s="93" t="s">
        <v>82</v>
      </c>
      <c r="E79" s="93">
        <v>0</v>
      </c>
    </row>
    <row r="80" spans="1:5" hidden="1" x14ac:dyDescent="0.3">
      <c r="A80" s="93" t="s">
        <v>221</v>
      </c>
      <c r="B80" s="93" t="s">
        <v>235</v>
      </c>
      <c r="C80" s="93" t="s">
        <v>73</v>
      </c>
      <c r="D80" s="93" t="s">
        <v>80</v>
      </c>
      <c r="E80" s="93">
        <v>1</v>
      </c>
    </row>
    <row r="81" spans="1:24" x14ac:dyDescent="0.3">
      <c r="A81" s="93" t="s">
        <v>221</v>
      </c>
      <c r="B81" s="93" t="s">
        <v>235</v>
      </c>
      <c r="C81" s="93" t="s">
        <v>73</v>
      </c>
      <c r="D81" s="93" t="s">
        <v>38</v>
      </c>
      <c r="E81" s="93">
        <v>3.5000000000000003E-2</v>
      </c>
    </row>
    <row r="82" spans="1:24" ht="15" hidden="1" thickBot="1" x14ac:dyDescent="0.35">
      <c r="A82" s="93" t="s">
        <v>221</v>
      </c>
      <c r="B82" s="94" t="s">
        <v>235</v>
      </c>
      <c r="C82" s="94" t="s">
        <v>73</v>
      </c>
      <c r="D82" s="94" t="s">
        <v>48</v>
      </c>
      <c r="E82" s="94">
        <v>0.14299999999999999</v>
      </c>
    </row>
    <row r="83" spans="1:24" hidden="1" x14ac:dyDescent="0.3">
      <c r="A83" s="93" t="s">
        <v>219</v>
      </c>
      <c r="B83" s="93" t="s">
        <v>228</v>
      </c>
      <c r="C83" s="93" t="s">
        <v>218</v>
      </c>
      <c r="D83" s="93" t="s">
        <v>91</v>
      </c>
      <c r="E83" s="93">
        <v>0.313</v>
      </c>
    </row>
    <row r="84" spans="1:24" hidden="1" x14ac:dyDescent="0.3">
      <c r="A84" s="93" t="s">
        <v>219</v>
      </c>
      <c r="B84" s="93" t="s">
        <v>228</v>
      </c>
      <c r="C84" s="93" t="s">
        <v>218</v>
      </c>
      <c r="D84" s="93" t="s">
        <v>90</v>
      </c>
      <c r="E84" s="93">
        <v>0.13900000000000001</v>
      </c>
    </row>
    <row r="85" spans="1:24" ht="15.6" hidden="1" x14ac:dyDescent="0.3">
      <c r="A85" s="93" t="s">
        <v>219</v>
      </c>
      <c r="B85" s="93" t="s">
        <v>228</v>
      </c>
      <c r="C85" s="93" t="s">
        <v>218</v>
      </c>
      <c r="D85" s="93" t="s">
        <v>89</v>
      </c>
      <c r="E85" s="93">
        <v>0.54600000000000004</v>
      </c>
      <c r="G85" s="62"/>
      <c r="K85" s="59"/>
      <c r="L85" s="59"/>
      <c r="M85" s="59"/>
      <c r="N85" s="59"/>
      <c r="P85" s="59"/>
      <c r="Q85" s="59"/>
      <c r="R85" s="59"/>
      <c r="S85" s="59"/>
      <c r="U85" s="59"/>
      <c r="V85" s="59"/>
      <c r="W85" s="59"/>
      <c r="X85" s="59"/>
    </row>
    <row r="86" spans="1:24" ht="15.6" hidden="1" x14ac:dyDescent="0.3">
      <c r="A86" t="s">
        <v>220</v>
      </c>
      <c r="B86" t="s">
        <v>228</v>
      </c>
      <c r="C86" t="s">
        <v>218</v>
      </c>
      <c r="D86" t="s">
        <v>88</v>
      </c>
      <c r="E86">
        <v>0.70799999999999996</v>
      </c>
      <c r="G86" s="65"/>
    </row>
    <row r="87" spans="1:24" ht="15.6" hidden="1" x14ac:dyDescent="0.3">
      <c r="A87" s="93" t="s">
        <v>219</v>
      </c>
      <c r="B87" s="93" t="s">
        <v>228</v>
      </c>
      <c r="C87" s="93" t="s">
        <v>218</v>
      </c>
      <c r="D87" s="93" t="s">
        <v>81</v>
      </c>
      <c r="E87" s="93">
        <v>0.29599999999999999</v>
      </c>
      <c r="G87" s="65"/>
    </row>
    <row r="88" spans="1:24" ht="15.6" hidden="1" x14ac:dyDescent="0.3">
      <c r="A88" s="93" t="s">
        <v>219</v>
      </c>
      <c r="B88" s="93" t="s">
        <v>228</v>
      </c>
      <c r="C88" s="93" t="s">
        <v>218</v>
      </c>
      <c r="D88" s="93" t="s">
        <v>82</v>
      </c>
      <c r="E88" s="93">
        <v>0.69699999999999995</v>
      </c>
      <c r="G88" s="65"/>
    </row>
    <row r="89" spans="1:24" hidden="1" x14ac:dyDescent="0.3">
      <c r="A89" s="93" t="s">
        <v>219</v>
      </c>
      <c r="B89" s="93" t="s">
        <v>228</v>
      </c>
      <c r="C89" s="93" t="s">
        <v>218</v>
      </c>
      <c r="D89" s="93" t="s">
        <v>80</v>
      </c>
      <c r="E89" s="93">
        <v>0</v>
      </c>
    </row>
    <row r="90" spans="1:24" hidden="1" x14ac:dyDescent="0.3">
      <c r="A90" t="s">
        <v>219</v>
      </c>
      <c r="B90" t="s">
        <v>228</v>
      </c>
      <c r="C90" t="s">
        <v>222</v>
      </c>
      <c r="D90" t="s">
        <v>91</v>
      </c>
      <c r="E90">
        <v>0.14099999999999999</v>
      </c>
    </row>
    <row r="91" spans="1:24" hidden="1" x14ac:dyDescent="0.3">
      <c r="A91" t="s">
        <v>219</v>
      </c>
      <c r="B91" t="s">
        <v>228</v>
      </c>
      <c r="C91" t="s">
        <v>222</v>
      </c>
      <c r="D91" t="s">
        <v>90</v>
      </c>
      <c r="E91">
        <v>0.115</v>
      </c>
    </row>
    <row r="92" spans="1:24" hidden="1" x14ac:dyDescent="0.3">
      <c r="A92" t="s">
        <v>219</v>
      </c>
      <c r="B92" t="s">
        <v>228</v>
      </c>
      <c r="C92" t="s">
        <v>222</v>
      </c>
      <c r="D92" t="s">
        <v>89</v>
      </c>
      <c r="E92">
        <v>5.8000000000000003E-2</v>
      </c>
    </row>
    <row r="93" spans="1:24" hidden="1" x14ac:dyDescent="0.3">
      <c r="A93" t="s">
        <v>219</v>
      </c>
      <c r="B93" t="s">
        <v>228</v>
      </c>
      <c r="C93" t="s">
        <v>222</v>
      </c>
      <c r="D93" t="s">
        <v>88</v>
      </c>
      <c r="E93">
        <v>0.182</v>
      </c>
      <c r="G93" s="66"/>
    </row>
    <row r="94" spans="1:24" hidden="1" x14ac:dyDescent="0.3">
      <c r="A94" t="s">
        <v>219</v>
      </c>
      <c r="B94" t="s">
        <v>228</v>
      </c>
      <c r="C94" t="s">
        <v>222</v>
      </c>
      <c r="D94" t="s">
        <v>81</v>
      </c>
      <c r="E94">
        <v>0.35699999999999998</v>
      </c>
    </row>
    <row r="95" spans="1:24" hidden="1" x14ac:dyDescent="0.3">
      <c r="A95" t="s">
        <v>219</v>
      </c>
      <c r="B95" t="s">
        <v>228</v>
      </c>
      <c r="C95" t="s">
        <v>222</v>
      </c>
      <c r="D95" t="s">
        <v>82</v>
      </c>
      <c r="E95">
        <v>0.79400000000000004</v>
      </c>
    </row>
    <row r="96" spans="1:24" hidden="1" x14ac:dyDescent="0.3">
      <c r="A96" t="s">
        <v>219</v>
      </c>
      <c r="B96" t="s">
        <v>228</v>
      </c>
      <c r="C96" t="s">
        <v>222</v>
      </c>
      <c r="D96" t="s">
        <v>80</v>
      </c>
      <c r="E96">
        <v>0</v>
      </c>
    </row>
    <row r="97" spans="1:24" hidden="1" x14ac:dyDescent="0.3">
      <c r="A97" s="93" t="s">
        <v>219</v>
      </c>
      <c r="B97" s="93" t="s">
        <v>228</v>
      </c>
      <c r="C97" s="93" t="s">
        <v>73</v>
      </c>
      <c r="D97" s="93" t="s">
        <v>91</v>
      </c>
      <c r="E97" s="93">
        <v>9.0999999999999998E-2</v>
      </c>
    </row>
    <row r="98" spans="1:24" hidden="1" x14ac:dyDescent="0.3">
      <c r="A98" s="93" t="s">
        <v>219</v>
      </c>
      <c r="B98" s="93" t="s">
        <v>228</v>
      </c>
      <c r="C98" s="93" t="s">
        <v>73</v>
      </c>
      <c r="D98" s="93" t="s">
        <v>90</v>
      </c>
      <c r="E98" s="93">
        <v>0.22700000000000001</v>
      </c>
    </row>
    <row r="99" spans="1:24" hidden="1" x14ac:dyDescent="0.3">
      <c r="A99" s="93" t="s">
        <v>219</v>
      </c>
      <c r="B99" s="93" t="s">
        <v>228</v>
      </c>
      <c r="C99" s="93" t="s">
        <v>73</v>
      </c>
      <c r="D99" s="93" t="s">
        <v>89</v>
      </c>
      <c r="E99" s="93">
        <v>0.14499999999999999</v>
      </c>
    </row>
    <row r="100" spans="1:24" hidden="1" x14ac:dyDescent="0.3">
      <c r="A100" s="93" t="s">
        <v>219</v>
      </c>
      <c r="B100" s="93" t="s">
        <v>228</v>
      </c>
      <c r="C100" s="93" t="s">
        <v>73</v>
      </c>
      <c r="D100" s="93" t="s">
        <v>88</v>
      </c>
      <c r="E100" s="93">
        <v>0.32300000000000001</v>
      </c>
    </row>
    <row r="101" spans="1:24" hidden="1" x14ac:dyDescent="0.3">
      <c r="A101" s="93" t="s">
        <v>219</v>
      </c>
      <c r="B101" s="93" t="s">
        <v>228</v>
      </c>
      <c r="C101" s="93" t="s">
        <v>73</v>
      </c>
      <c r="D101" s="93" t="s">
        <v>81</v>
      </c>
      <c r="E101" s="93">
        <v>0.499</v>
      </c>
    </row>
    <row r="102" spans="1:24" hidden="1" x14ac:dyDescent="0.3">
      <c r="A102" s="93" t="s">
        <v>219</v>
      </c>
      <c r="B102" s="93" t="s">
        <v>228</v>
      </c>
      <c r="C102" s="93" t="s">
        <v>73</v>
      </c>
      <c r="D102" s="93" t="s">
        <v>82</v>
      </c>
      <c r="E102" s="93">
        <v>0</v>
      </c>
    </row>
    <row r="103" spans="1:24" ht="15" hidden="1" thickBot="1" x14ac:dyDescent="0.35">
      <c r="A103" s="93" t="s">
        <v>219</v>
      </c>
      <c r="B103" s="94" t="s">
        <v>228</v>
      </c>
      <c r="C103" s="94" t="s">
        <v>73</v>
      </c>
      <c r="D103" s="94" t="s">
        <v>80</v>
      </c>
      <c r="E103" s="94">
        <v>0.98</v>
      </c>
    </row>
    <row r="104" spans="1:24" hidden="1" x14ac:dyDescent="0.3">
      <c r="A104" t="s">
        <v>220</v>
      </c>
      <c r="B104" t="s">
        <v>228</v>
      </c>
      <c r="C104" t="s">
        <v>218</v>
      </c>
      <c r="D104" t="s">
        <v>91</v>
      </c>
      <c r="E104">
        <v>0.33800000000000002</v>
      </c>
    </row>
    <row r="105" spans="1:24" hidden="1" x14ac:dyDescent="0.3">
      <c r="A105" t="s">
        <v>220</v>
      </c>
      <c r="B105" t="s">
        <v>228</v>
      </c>
      <c r="C105" t="s">
        <v>218</v>
      </c>
      <c r="D105" t="s">
        <v>90</v>
      </c>
      <c r="E105">
        <v>0.08</v>
      </c>
    </row>
    <row r="106" spans="1:24" ht="15.6" hidden="1" x14ac:dyDescent="0.3">
      <c r="A106" t="s">
        <v>220</v>
      </c>
      <c r="B106" t="s">
        <v>228</v>
      </c>
      <c r="C106" t="s">
        <v>218</v>
      </c>
      <c r="D106" t="s">
        <v>89</v>
      </c>
      <c r="E106">
        <v>0.49299999999999999</v>
      </c>
      <c r="G106" s="62"/>
      <c r="K106" s="59"/>
      <c r="L106" s="59"/>
      <c r="M106" s="59"/>
      <c r="N106" s="59"/>
      <c r="P106" s="59"/>
      <c r="Q106" s="59"/>
      <c r="R106" s="59"/>
      <c r="S106" s="59"/>
      <c r="U106" s="59"/>
      <c r="V106" s="59"/>
      <c r="W106" s="59"/>
      <c r="X106" s="59"/>
    </row>
    <row r="107" spans="1:24" ht="15.6" hidden="1" x14ac:dyDescent="0.3">
      <c r="A107" s="93" t="s">
        <v>221</v>
      </c>
      <c r="B107" s="93" t="s">
        <v>235</v>
      </c>
      <c r="C107" s="93" t="s">
        <v>218</v>
      </c>
      <c r="D107" s="93" t="s">
        <v>88</v>
      </c>
      <c r="E107" s="93">
        <v>1</v>
      </c>
      <c r="G107" s="65"/>
    </row>
    <row r="108" spans="1:24" ht="15.6" hidden="1" x14ac:dyDescent="0.3">
      <c r="A108" t="s">
        <v>220</v>
      </c>
      <c r="B108" t="s">
        <v>228</v>
      </c>
      <c r="C108" t="s">
        <v>218</v>
      </c>
      <c r="D108" t="s">
        <v>81</v>
      </c>
      <c r="E108">
        <v>0.28299999999999997</v>
      </c>
      <c r="G108" s="65"/>
    </row>
    <row r="109" spans="1:24" ht="15.6" hidden="1" x14ac:dyDescent="0.3">
      <c r="A109" t="s">
        <v>220</v>
      </c>
      <c r="B109" t="s">
        <v>228</v>
      </c>
      <c r="C109" t="s">
        <v>218</v>
      </c>
      <c r="D109" t="s">
        <v>82</v>
      </c>
      <c r="E109">
        <v>0.47599999999999998</v>
      </c>
      <c r="G109" s="64"/>
    </row>
    <row r="110" spans="1:24" ht="15.6" hidden="1" x14ac:dyDescent="0.3">
      <c r="A110" t="s">
        <v>220</v>
      </c>
      <c r="B110" t="s">
        <v>228</v>
      </c>
      <c r="C110" t="s">
        <v>218</v>
      </c>
      <c r="D110" t="s">
        <v>80</v>
      </c>
      <c r="E110">
        <v>0</v>
      </c>
      <c r="G110" s="65"/>
    </row>
    <row r="111" spans="1:24" ht="15.6" hidden="1" x14ac:dyDescent="0.3">
      <c r="A111" t="s">
        <v>220</v>
      </c>
      <c r="B111" t="s">
        <v>228</v>
      </c>
      <c r="C111" t="s">
        <v>222</v>
      </c>
      <c r="D111" t="s">
        <v>91</v>
      </c>
      <c r="E111">
        <v>0.13800000000000001</v>
      </c>
      <c r="G111" s="65"/>
    </row>
    <row r="112" spans="1:24" ht="15.6" hidden="1" x14ac:dyDescent="0.3">
      <c r="A112" t="s">
        <v>220</v>
      </c>
      <c r="B112" t="s">
        <v>228</v>
      </c>
      <c r="C112" t="s">
        <v>222</v>
      </c>
      <c r="D112" t="s">
        <v>90</v>
      </c>
      <c r="E112">
        <v>9.9000000000000005E-2</v>
      </c>
      <c r="G112" s="62"/>
    </row>
    <row r="113" spans="1:7" ht="15.6" hidden="1" x14ac:dyDescent="0.3">
      <c r="A113" t="s">
        <v>220</v>
      </c>
      <c r="B113" t="s">
        <v>228</v>
      </c>
      <c r="C113" t="s">
        <v>222</v>
      </c>
      <c r="D113" t="s">
        <v>89</v>
      </c>
      <c r="E113">
        <v>0.02</v>
      </c>
      <c r="G113" s="63"/>
    </row>
    <row r="114" spans="1:7" ht="15.6" hidden="1" x14ac:dyDescent="0.3">
      <c r="A114" t="s">
        <v>220</v>
      </c>
      <c r="B114" t="s">
        <v>228</v>
      </c>
      <c r="C114" t="s">
        <v>222</v>
      </c>
      <c r="D114" t="s">
        <v>88</v>
      </c>
      <c r="E114">
        <v>0.185</v>
      </c>
      <c r="G114" s="65"/>
    </row>
    <row r="115" spans="1:7" ht="15.6" hidden="1" x14ac:dyDescent="0.3">
      <c r="A115" t="s">
        <v>220</v>
      </c>
      <c r="B115" t="s">
        <v>228</v>
      </c>
      <c r="C115" t="s">
        <v>222</v>
      </c>
      <c r="D115" t="s">
        <v>81</v>
      </c>
      <c r="E115">
        <v>0.157</v>
      </c>
      <c r="G115" s="62"/>
    </row>
    <row r="116" spans="1:7" hidden="1" x14ac:dyDescent="0.3">
      <c r="A116" t="s">
        <v>220</v>
      </c>
      <c r="B116" t="s">
        <v>228</v>
      </c>
      <c r="C116" t="s">
        <v>222</v>
      </c>
      <c r="D116" t="s">
        <v>82</v>
      </c>
      <c r="E116">
        <v>0.71899999999999997</v>
      </c>
    </row>
    <row r="117" spans="1:7" hidden="1" x14ac:dyDescent="0.3">
      <c r="A117" t="s">
        <v>220</v>
      </c>
      <c r="B117" t="s">
        <v>228</v>
      </c>
      <c r="C117" t="s">
        <v>222</v>
      </c>
      <c r="D117" t="s">
        <v>80</v>
      </c>
      <c r="E117">
        <v>0</v>
      </c>
    </row>
    <row r="118" spans="1:7" ht="15.6" hidden="1" x14ac:dyDescent="0.3">
      <c r="A118" t="s">
        <v>220</v>
      </c>
      <c r="B118" t="s">
        <v>228</v>
      </c>
      <c r="C118" t="s">
        <v>73</v>
      </c>
      <c r="D118" t="s">
        <v>91</v>
      </c>
      <c r="E118">
        <v>6.4000000000000001E-2</v>
      </c>
      <c r="G118" s="62"/>
    </row>
    <row r="119" spans="1:7" hidden="1" x14ac:dyDescent="0.3">
      <c r="A119" t="s">
        <v>220</v>
      </c>
      <c r="B119" t="s">
        <v>228</v>
      </c>
      <c r="C119" t="s">
        <v>73</v>
      </c>
      <c r="D119" t="s">
        <v>90</v>
      </c>
      <c r="E119">
        <v>0.24199999999999999</v>
      </c>
    </row>
    <row r="120" spans="1:7" hidden="1" x14ac:dyDescent="0.3">
      <c r="A120" t="s">
        <v>220</v>
      </c>
      <c r="B120" t="s">
        <v>228</v>
      </c>
      <c r="C120" t="s">
        <v>73</v>
      </c>
      <c r="D120" t="s">
        <v>89</v>
      </c>
      <c r="E120">
        <v>0.19400000000000001</v>
      </c>
    </row>
    <row r="121" spans="1:7" ht="15.6" hidden="1" x14ac:dyDescent="0.3">
      <c r="A121" t="s">
        <v>220</v>
      </c>
      <c r="B121" t="s">
        <v>228</v>
      </c>
      <c r="C121" t="s">
        <v>73</v>
      </c>
      <c r="D121" t="s">
        <v>88</v>
      </c>
      <c r="E121">
        <v>0.35799999999999998</v>
      </c>
      <c r="G121" s="62"/>
    </row>
    <row r="122" spans="1:7" hidden="1" x14ac:dyDescent="0.3">
      <c r="A122" t="s">
        <v>220</v>
      </c>
      <c r="B122" t="s">
        <v>228</v>
      </c>
      <c r="C122" t="s">
        <v>73</v>
      </c>
      <c r="D122" t="s">
        <v>81</v>
      </c>
      <c r="E122">
        <v>0.311</v>
      </c>
    </row>
    <row r="123" spans="1:7" hidden="1" x14ac:dyDescent="0.3">
      <c r="A123" t="s">
        <v>220</v>
      </c>
      <c r="B123" t="s">
        <v>228</v>
      </c>
      <c r="C123" t="s">
        <v>73</v>
      </c>
      <c r="D123" t="s">
        <v>82</v>
      </c>
      <c r="E123">
        <v>0</v>
      </c>
    </row>
    <row r="124" spans="1:7" ht="16.2" hidden="1" thickBot="1" x14ac:dyDescent="0.35">
      <c r="A124" t="s">
        <v>220</v>
      </c>
      <c r="B124" s="87" t="s">
        <v>228</v>
      </c>
      <c r="C124" s="87" t="s">
        <v>73</v>
      </c>
      <c r="D124" s="87" t="s">
        <v>80</v>
      </c>
      <c r="E124" s="87">
        <v>1</v>
      </c>
      <c r="G124" s="62"/>
    </row>
    <row r="125" spans="1:7" hidden="1" x14ac:dyDescent="0.3">
      <c r="A125" t="s">
        <v>221</v>
      </c>
      <c r="B125" t="s">
        <v>228</v>
      </c>
      <c r="C125" t="s">
        <v>218</v>
      </c>
      <c r="D125" t="s">
        <v>91</v>
      </c>
      <c r="E125">
        <v>0.17799999999999999</v>
      </c>
    </row>
    <row r="126" spans="1:7" hidden="1" x14ac:dyDescent="0.3">
      <c r="A126" t="s">
        <v>221</v>
      </c>
      <c r="B126" t="s">
        <v>228</v>
      </c>
      <c r="C126" t="s">
        <v>218</v>
      </c>
      <c r="D126" t="s">
        <v>90</v>
      </c>
      <c r="E126">
        <v>9.4E-2</v>
      </c>
    </row>
    <row r="127" spans="1:7" hidden="1" x14ac:dyDescent="0.3">
      <c r="A127" t="s">
        <v>221</v>
      </c>
      <c r="B127" t="s">
        <v>228</v>
      </c>
      <c r="C127" t="s">
        <v>218</v>
      </c>
      <c r="D127" t="s">
        <v>89</v>
      </c>
      <c r="E127">
        <v>0.75700000000000001</v>
      </c>
    </row>
    <row r="128" spans="1:7" hidden="1" x14ac:dyDescent="0.3">
      <c r="A128" t="s">
        <v>221</v>
      </c>
      <c r="B128" t="s">
        <v>228</v>
      </c>
      <c r="C128" t="s">
        <v>218</v>
      </c>
      <c r="D128" t="s">
        <v>88</v>
      </c>
      <c r="E128">
        <v>0.59699999999999998</v>
      </c>
    </row>
    <row r="129" spans="1:5" hidden="1" x14ac:dyDescent="0.3">
      <c r="A129" t="s">
        <v>221</v>
      </c>
      <c r="B129" t="s">
        <v>228</v>
      </c>
      <c r="C129" t="s">
        <v>218</v>
      </c>
      <c r="D129" t="s">
        <v>81</v>
      </c>
      <c r="E129">
        <v>0.22600000000000001</v>
      </c>
    </row>
    <row r="130" spans="1:5" hidden="1" x14ac:dyDescent="0.3">
      <c r="A130" t="s">
        <v>221</v>
      </c>
      <c r="B130" t="s">
        <v>228</v>
      </c>
      <c r="C130" t="s">
        <v>218</v>
      </c>
      <c r="D130" t="s">
        <v>82</v>
      </c>
      <c r="E130">
        <v>0.91900000000000004</v>
      </c>
    </row>
    <row r="131" spans="1:5" hidden="1" x14ac:dyDescent="0.3">
      <c r="A131" t="s">
        <v>221</v>
      </c>
      <c r="B131" t="s">
        <v>228</v>
      </c>
      <c r="C131" t="s">
        <v>218</v>
      </c>
      <c r="D131" t="s">
        <v>80</v>
      </c>
      <c r="E131">
        <v>0</v>
      </c>
    </row>
    <row r="132" spans="1:5" hidden="1" x14ac:dyDescent="0.3">
      <c r="A132" t="s">
        <v>221</v>
      </c>
      <c r="B132" t="s">
        <v>228</v>
      </c>
      <c r="C132" t="s">
        <v>222</v>
      </c>
      <c r="D132" t="s">
        <v>91</v>
      </c>
      <c r="E132">
        <v>0.17199999999999999</v>
      </c>
    </row>
    <row r="133" spans="1:5" hidden="1" x14ac:dyDescent="0.3">
      <c r="A133" t="s">
        <v>221</v>
      </c>
      <c r="B133" t="s">
        <v>228</v>
      </c>
      <c r="C133" t="s">
        <v>222</v>
      </c>
      <c r="D133" t="s">
        <v>90</v>
      </c>
      <c r="E133">
        <v>7.1999999999999995E-2</v>
      </c>
    </row>
    <row r="134" spans="1:5" hidden="1" x14ac:dyDescent="0.3">
      <c r="A134" t="s">
        <v>221</v>
      </c>
      <c r="B134" t="s">
        <v>228</v>
      </c>
      <c r="C134" t="s">
        <v>222</v>
      </c>
      <c r="D134" t="s">
        <v>89</v>
      </c>
      <c r="E134">
        <v>0</v>
      </c>
    </row>
    <row r="135" spans="1:5" hidden="1" x14ac:dyDescent="0.3">
      <c r="A135" t="s">
        <v>221</v>
      </c>
      <c r="B135" t="s">
        <v>228</v>
      </c>
      <c r="C135" t="s">
        <v>222</v>
      </c>
      <c r="D135" t="s">
        <v>88</v>
      </c>
      <c r="E135">
        <v>0.2</v>
      </c>
    </row>
    <row r="136" spans="1:5" hidden="1" x14ac:dyDescent="0.3">
      <c r="A136" t="s">
        <v>221</v>
      </c>
      <c r="B136" t="s">
        <v>228</v>
      </c>
      <c r="C136" t="s">
        <v>222</v>
      </c>
      <c r="D136" t="s">
        <v>81</v>
      </c>
      <c r="E136">
        <v>0.157</v>
      </c>
    </row>
    <row r="137" spans="1:5" hidden="1" x14ac:dyDescent="0.3">
      <c r="A137" t="s">
        <v>221</v>
      </c>
      <c r="B137" t="s">
        <v>228</v>
      </c>
      <c r="C137" t="s">
        <v>222</v>
      </c>
      <c r="D137" t="s">
        <v>82</v>
      </c>
      <c r="E137">
        <v>0.88300000000000001</v>
      </c>
    </row>
    <row r="138" spans="1:5" hidden="1" x14ac:dyDescent="0.3">
      <c r="A138" t="s">
        <v>221</v>
      </c>
      <c r="B138" t="s">
        <v>228</v>
      </c>
      <c r="C138" t="s">
        <v>222</v>
      </c>
      <c r="D138" t="s">
        <v>80</v>
      </c>
      <c r="E138">
        <v>0</v>
      </c>
    </row>
    <row r="139" spans="1:5" hidden="1" x14ac:dyDescent="0.3">
      <c r="A139" t="s">
        <v>221</v>
      </c>
      <c r="B139" t="s">
        <v>228</v>
      </c>
      <c r="C139" t="s">
        <v>73</v>
      </c>
      <c r="D139" t="s">
        <v>91</v>
      </c>
      <c r="E139">
        <v>0.104</v>
      </c>
    </row>
    <row r="140" spans="1:5" hidden="1" x14ac:dyDescent="0.3">
      <c r="A140" t="s">
        <v>221</v>
      </c>
      <c r="B140" t="s">
        <v>228</v>
      </c>
      <c r="C140" t="s">
        <v>73</v>
      </c>
      <c r="D140" t="s">
        <v>90</v>
      </c>
      <c r="E140">
        <v>0.38700000000000001</v>
      </c>
    </row>
    <row r="141" spans="1:5" hidden="1" x14ac:dyDescent="0.3">
      <c r="A141" t="s">
        <v>221</v>
      </c>
      <c r="B141" t="s">
        <v>228</v>
      </c>
      <c r="C141" t="s">
        <v>73</v>
      </c>
      <c r="D141" t="s">
        <v>89</v>
      </c>
      <c r="E141">
        <v>0.182</v>
      </c>
    </row>
    <row r="142" spans="1:5" hidden="1" x14ac:dyDescent="0.3">
      <c r="A142" t="s">
        <v>221</v>
      </c>
      <c r="B142" t="s">
        <v>228</v>
      </c>
      <c r="C142" t="s">
        <v>73</v>
      </c>
      <c r="D142" t="s">
        <v>88</v>
      </c>
      <c r="E142">
        <v>0.32400000000000001</v>
      </c>
    </row>
    <row r="143" spans="1:5" hidden="1" x14ac:dyDescent="0.3">
      <c r="A143" t="s">
        <v>221</v>
      </c>
      <c r="B143" t="s">
        <v>228</v>
      </c>
      <c r="C143" t="s">
        <v>73</v>
      </c>
      <c r="D143" t="s">
        <v>81</v>
      </c>
      <c r="E143">
        <v>0.41399999999999998</v>
      </c>
    </row>
    <row r="144" spans="1:5" hidden="1" x14ac:dyDescent="0.3">
      <c r="A144" t="s">
        <v>221</v>
      </c>
      <c r="B144" t="s">
        <v>228</v>
      </c>
      <c r="C144" t="s">
        <v>73</v>
      </c>
      <c r="D144" t="s">
        <v>82</v>
      </c>
      <c r="E144">
        <v>0</v>
      </c>
    </row>
    <row r="145" spans="1:5" hidden="1" x14ac:dyDescent="0.3">
      <c r="A145" t="s">
        <v>221</v>
      </c>
      <c r="B145" t="s">
        <v>228</v>
      </c>
      <c r="C145" t="s">
        <v>73</v>
      </c>
      <c r="D145" t="s">
        <v>80</v>
      </c>
      <c r="E145">
        <v>1</v>
      </c>
    </row>
  </sheetData>
  <autoFilter ref="A1:E145" xr:uid="{55E56BC6-10DE-4D9F-A258-E1F71527F8BB}">
    <filterColumn colId="3">
      <filters>
        <filter val="Break-off"/>
      </filters>
    </filterColumn>
    <sortState xmlns:xlrd2="http://schemas.microsoft.com/office/spreadsheetml/2017/richdata2" ref="A5:E128">
      <sortCondition ref="A1:A145"/>
    </sortState>
  </autoFilter>
  <phoneticPr fontId="11" type="noConversion"/>
  <conditionalFormatting sqref="G30:G39">
    <cfRule type="containsBlanks" priority="4" stopIfTrue="1">
      <formula>LEN(TRIM(G30))=0</formula>
    </cfRule>
  </conditionalFormatting>
  <conditionalFormatting sqref="G42">
    <cfRule type="containsBlanks" priority="5" stopIfTrue="1">
      <formula>LEN(TRIM(G42))=0</formula>
    </cfRule>
  </conditionalFormatting>
  <conditionalFormatting sqref="G45">
    <cfRule type="containsBlanks" priority="3" stopIfTrue="1">
      <formula>LEN(TRIM(G45))=0</formula>
    </cfRule>
  </conditionalFormatting>
  <conditionalFormatting sqref="G48">
    <cfRule type="containsBlanks" priority="2" stopIfTrue="1">
      <formula>LEN(TRIM(G48))=0</formula>
    </cfRule>
  </conditionalFormatting>
  <conditionalFormatting sqref="G51:G55">
    <cfRule type="containsBlanks" priority="1" stopIfTrue="1">
      <formula>LEN(TRIM(G51))=0</formula>
    </cfRule>
  </conditionalFormatting>
  <conditionalFormatting sqref="G85:G88">
    <cfRule type="containsBlanks" priority="24" stopIfTrue="1">
      <formula>LEN(TRIM(G85))=0</formula>
    </cfRule>
  </conditionalFormatting>
  <conditionalFormatting sqref="G93">
    <cfRule type="containsBlanks" priority="15" stopIfTrue="1">
      <formula>LEN(TRIM(G93))=0</formula>
    </cfRule>
  </conditionalFormatting>
  <conditionalFormatting sqref="G106:G115">
    <cfRule type="containsBlanks" priority="8" stopIfTrue="1">
      <formula>LEN(TRIM(G106))=0</formula>
    </cfRule>
  </conditionalFormatting>
  <conditionalFormatting sqref="G118">
    <cfRule type="containsBlanks" priority="9" stopIfTrue="1">
      <formula>LEN(TRIM(G118))=0</formula>
    </cfRule>
  </conditionalFormatting>
  <conditionalFormatting sqref="G121">
    <cfRule type="containsBlanks" priority="7" stopIfTrue="1">
      <formula>LEN(TRIM(G121))=0</formula>
    </cfRule>
  </conditionalFormatting>
  <conditionalFormatting sqref="G124">
    <cfRule type="containsBlanks" priority="6" stopIfTrue="1">
      <formula>LEN(TRIM(G124))=0</formula>
    </cfRule>
  </conditionalFormatting>
  <conditionalFormatting sqref="H18:H27">
    <cfRule type="containsBlanks" priority="23" stopIfTrue="1">
      <formula>LEN(TRIM(H18))=0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52B5-AFDC-471F-86BB-858757055D6D}">
  <dimension ref="A1:N289"/>
  <sheetViews>
    <sheetView zoomScale="85" zoomScaleNormal="85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52.77734375" customWidth="1"/>
    <col min="2" max="2" width="45.77734375" customWidth="1"/>
    <col min="3" max="3" width="43.21875" customWidth="1"/>
    <col min="7" max="7" width="18.109375" customWidth="1"/>
    <col min="14" max="14" width="22.21875" customWidth="1"/>
    <col min="15" max="15" width="42.77734375" customWidth="1"/>
    <col min="16" max="16" width="20.88671875" customWidth="1"/>
  </cols>
  <sheetData>
    <row r="1" spans="1:14" x14ac:dyDescent="0.3">
      <c r="A1" t="s">
        <v>84</v>
      </c>
      <c r="B1" t="s">
        <v>92</v>
      </c>
      <c r="C1" t="s">
        <v>93</v>
      </c>
      <c r="D1" t="s">
        <v>112</v>
      </c>
      <c r="E1" t="s">
        <v>50</v>
      </c>
      <c r="F1" t="s">
        <v>111</v>
      </c>
      <c r="G1" t="s">
        <v>113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N1" t="s">
        <v>243</v>
      </c>
    </row>
    <row r="2" spans="1:14" x14ac:dyDescent="0.3">
      <c r="A2" t="s">
        <v>232</v>
      </c>
      <c r="B2" t="str">
        <f>N2</f>
        <v>Household member (Ref: Anchor)</v>
      </c>
      <c r="C2" t="s">
        <v>224</v>
      </c>
      <c r="D2">
        <v>0.67</v>
      </c>
      <c r="E2">
        <v>0.35899999999999999</v>
      </c>
      <c r="F2">
        <v>1.8680000000000001</v>
      </c>
      <c r="G2">
        <v>6.2E-2</v>
      </c>
      <c r="H2">
        <f>(EXP($D2))*1</f>
        <v>1.9542373206359396</v>
      </c>
      <c r="I2">
        <f t="shared" ref="I2:I65" si="0">$D2-1.96*$E2</f>
        <v>-3.3639999999999892E-2</v>
      </c>
      <c r="J2">
        <f t="shared" ref="J2:J65" si="1">EXP($I2)</f>
        <v>0.96691953302052647</v>
      </c>
      <c r="K2">
        <f t="shared" ref="K2:K65" si="2">$D2+1.96*$E2</f>
        <v>1.37364</v>
      </c>
      <c r="L2">
        <f t="shared" ref="L2:L65" si="3">EXP($K2)</f>
        <v>3.9497014745747849</v>
      </c>
      <c r="N2" t="s">
        <v>254</v>
      </c>
    </row>
    <row r="3" spans="1:14" x14ac:dyDescent="0.3">
      <c r="A3" t="s">
        <v>232</v>
      </c>
      <c r="B3" t="str">
        <f t="shared" ref="B3:B66" si="4">N3</f>
        <v>Age: Young tertile (Ref: Medium)</v>
      </c>
      <c r="C3" t="s">
        <v>224</v>
      </c>
      <c r="D3">
        <v>-0.50600000000000001</v>
      </c>
      <c r="E3">
        <v>0.37</v>
      </c>
      <c r="F3">
        <v>-1.369</v>
      </c>
      <c r="G3">
        <v>0.17100000000000001</v>
      </c>
      <c r="H3">
        <f t="shared" ref="H3:H70" si="5">(EXP($D3))*1</f>
        <v>0.60290237150384207</v>
      </c>
      <c r="I3">
        <f t="shared" si="0"/>
        <v>-1.2311999999999999</v>
      </c>
      <c r="J3">
        <f t="shared" si="1"/>
        <v>0.29194203695414334</v>
      </c>
      <c r="K3">
        <f t="shared" si="2"/>
        <v>0.21919999999999995</v>
      </c>
      <c r="L3">
        <f t="shared" si="3"/>
        <v>1.2450802678411541</v>
      </c>
      <c r="N3" t="s">
        <v>244</v>
      </c>
    </row>
    <row r="4" spans="1:14" x14ac:dyDescent="0.3">
      <c r="A4" t="s">
        <v>232</v>
      </c>
      <c r="B4" t="str">
        <f t="shared" si="4"/>
        <v>Age: Old tertile</v>
      </c>
      <c r="C4" t="s">
        <v>224</v>
      </c>
      <c r="D4">
        <v>0.40500000000000003</v>
      </c>
      <c r="E4">
        <v>0.70599999999999996</v>
      </c>
      <c r="F4">
        <v>0.57399999999999995</v>
      </c>
      <c r="G4">
        <v>0.56599999999999995</v>
      </c>
      <c r="H4">
        <f t="shared" si="5"/>
        <v>1.499302500056767</v>
      </c>
      <c r="I4">
        <f t="shared" si="0"/>
        <v>-0.97875999999999985</v>
      </c>
      <c r="J4">
        <f t="shared" si="1"/>
        <v>0.37577677327244796</v>
      </c>
      <c r="K4">
        <f t="shared" si="2"/>
        <v>1.7887599999999999</v>
      </c>
      <c r="L4">
        <f t="shared" si="3"/>
        <v>5.9820301481131715</v>
      </c>
      <c r="N4" t="s">
        <v>251</v>
      </c>
    </row>
    <row r="5" spans="1:14" x14ac:dyDescent="0.3">
      <c r="A5" t="s">
        <v>232</v>
      </c>
      <c r="B5" t="str">
        <f t="shared" si="4"/>
        <v>Gender: Female (Ref: Not female</v>
      </c>
      <c r="C5" t="s">
        <v>224</v>
      </c>
      <c r="D5">
        <v>0.497</v>
      </c>
      <c r="E5">
        <v>0.30599999999999999</v>
      </c>
      <c r="F5">
        <v>1.621</v>
      </c>
      <c r="G5">
        <v>0.105</v>
      </c>
      <c r="H5">
        <f t="shared" si="5"/>
        <v>1.6437825187200612</v>
      </c>
      <c r="I5">
        <f t="shared" si="0"/>
        <v>-0.10275999999999996</v>
      </c>
      <c r="J5">
        <f t="shared" si="1"/>
        <v>0.90234350993848755</v>
      </c>
      <c r="K5">
        <f t="shared" si="2"/>
        <v>1.09676</v>
      </c>
      <c r="L5">
        <f t="shared" si="3"/>
        <v>2.9944482772795302</v>
      </c>
      <c r="N5" t="s">
        <v>114</v>
      </c>
    </row>
    <row r="6" spans="1:14" x14ac:dyDescent="0.3">
      <c r="A6" t="s">
        <v>232</v>
      </c>
      <c r="B6" t="str">
        <f t="shared" si="4"/>
        <v>Migration (Ref: No)</v>
      </c>
      <c r="C6" t="s">
        <v>224</v>
      </c>
      <c r="D6">
        <v>0.17799999999999999</v>
      </c>
      <c r="E6">
        <v>0.36</v>
      </c>
      <c r="F6">
        <v>0.49399999999999999</v>
      </c>
      <c r="G6">
        <v>0.621</v>
      </c>
      <c r="H6">
        <f t="shared" si="5"/>
        <v>1.1948253212348008</v>
      </c>
      <c r="I6">
        <f t="shared" si="0"/>
        <v>-0.52760000000000007</v>
      </c>
      <c r="J6">
        <f t="shared" si="1"/>
        <v>0.59001931814485586</v>
      </c>
      <c r="K6">
        <f t="shared" si="2"/>
        <v>0.88359999999999994</v>
      </c>
      <c r="L6">
        <f t="shared" si="3"/>
        <v>2.4195945867544499</v>
      </c>
      <c r="N6" t="s">
        <v>253</v>
      </c>
    </row>
    <row r="7" spans="1:14" x14ac:dyDescent="0.3">
      <c r="A7" t="s">
        <v>232</v>
      </c>
      <c r="B7" t="str">
        <f t="shared" si="4"/>
        <v>Education: Tertiary (Ref: Non-tert.)</v>
      </c>
      <c r="C7" t="s">
        <v>224</v>
      </c>
      <c r="D7">
        <v>0.25900000000000001</v>
      </c>
      <c r="E7">
        <v>0.30099999999999999</v>
      </c>
      <c r="F7">
        <v>0.86099999999999999</v>
      </c>
      <c r="G7">
        <v>0.38900000000000001</v>
      </c>
      <c r="H7">
        <f t="shared" si="5"/>
        <v>1.2956338048280485</v>
      </c>
      <c r="I7">
        <f t="shared" si="0"/>
        <v>-0.33095999999999992</v>
      </c>
      <c r="J7">
        <f t="shared" si="1"/>
        <v>0.71823389782190372</v>
      </c>
      <c r="K7">
        <f t="shared" si="2"/>
        <v>0.84895999999999994</v>
      </c>
      <c r="L7">
        <f t="shared" si="3"/>
        <v>2.3372148840424884</v>
      </c>
      <c r="N7" t="s">
        <v>252</v>
      </c>
    </row>
    <row r="8" spans="1:14" x14ac:dyDescent="0.3">
      <c r="A8" t="s">
        <v>232</v>
      </c>
      <c r="B8" t="str">
        <f t="shared" si="4"/>
        <v>Education: Missing</v>
      </c>
      <c r="C8" t="s">
        <v>224</v>
      </c>
      <c r="D8">
        <v>0.115</v>
      </c>
      <c r="E8">
        <v>1.47</v>
      </c>
      <c r="F8">
        <v>7.8E-2</v>
      </c>
      <c r="G8">
        <v>0.93799999999999994</v>
      </c>
      <c r="H8">
        <f t="shared" si="5"/>
        <v>1.1218734375719384</v>
      </c>
      <c r="I8">
        <f t="shared" si="0"/>
        <v>-2.7661999999999995</v>
      </c>
      <c r="J8">
        <f t="shared" si="1"/>
        <v>6.2900573353457348E-2</v>
      </c>
      <c r="K8">
        <f t="shared" si="2"/>
        <v>2.9962</v>
      </c>
      <c r="L8">
        <f t="shared" si="3"/>
        <v>20.009356716941582</v>
      </c>
      <c r="N8" t="s">
        <v>250</v>
      </c>
    </row>
    <row r="9" spans="1:14" x14ac:dyDescent="0.3">
      <c r="A9" t="s">
        <v>232</v>
      </c>
      <c r="B9" t="str">
        <f t="shared" si="4"/>
        <v>Employment: Part-time</v>
      </c>
      <c r="C9" t="s">
        <v>224</v>
      </c>
      <c r="D9">
        <v>-8.7999999999999995E-2</v>
      </c>
      <c r="E9">
        <v>0.40400000000000003</v>
      </c>
      <c r="F9">
        <v>-0.219</v>
      </c>
      <c r="G9">
        <v>0.82699999999999996</v>
      </c>
      <c r="H9">
        <f t="shared" si="5"/>
        <v>0.91576087672332562</v>
      </c>
      <c r="I9">
        <f t="shared" si="0"/>
        <v>-0.87983999999999996</v>
      </c>
      <c r="J9">
        <f t="shared" si="1"/>
        <v>0.41484928225695489</v>
      </c>
      <c r="K9">
        <f t="shared" si="2"/>
        <v>0.70384000000000002</v>
      </c>
      <c r="L9">
        <f t="shared" si="3"/>
        <v>2.0215003838855377</v>
      </c>
      <c r="N9" t="s">
        <v>248</v>
      </c>
    </row>
    <row r="10" spans="1:14" x14ac:dyDescent="0.3">
      <c r="A10" t="s">
        <v>232</v>
      </c>
      <c r="B10" t="str">
        <f t="shared" si="4"/>
        <v>Employment: None</v>
      </c>
      <c r="C10" t="s">
        <v>224</v>
      </c>
      <c r="D10">
        <v>0.19400000000000001</v>
      </c>
      <c r="E10">
        <v>0.39</v>
      </c>
      <c r="F10">
        <v>0.497</v>
      </c>
      <c r="G10">
        <v>0.61899999999999999</v>
      </c>
      <c r="H10">
        <f t="shared" si="5"/>
        <v>1.2140962829562332</v>
      </c>
      <c r="I10">
        <f t="shared" si="0"/>
        <v>-0.57040000000000002</v>
      </c>
      <c r="J10">
        <f t="shared" si="1"/>
        <v>0.56529927376006073</v>
      </c>
      <c r="K10">
        <f t="shared" si="2"/>
        <v>0.95839999999999992</v>
      </c>
      <c r="L10">
        <f t="shared" si="3"/>
        <v>2.6075211002549215</v>
      </c>
      <c r="N10" t="s">
        <v>249</v>
      </c>
    </row>
    <row r="11" spans="1:14" x14ac:dyDescent="0.3">
      <c r="A11" t="s">
        <v>232</v>
      </c>
      <c r="B11" t="str">
        <f t="shared" si="4"/>
        <v>Employment: Retired (Ref: Full)</v>
      </c>
      <c r="C11" t="s">
        <v>224</v>
      </c>
      <c r="D11">
        <v>-0.379</v>
      </c>
      <c r="E11">
        <v>0.77300000000000002</v>
      </c>
      <c r="F11">
        <v>-0.49</v>
      </c>
      <c r="G11">
        <v>0.624</v>
      </c>
      <c r="H11">
        <f t="shared" si="5"/>
        <v>0.68454561266627822</v>
      </c>
      <c r="I11">
        <f t="shared" si="0"/>
        <v>-1.89408</v>
      </c>
      <c r="J11">
        <f t="shared" si="1"/>
        <v>0.15045669154887542</v>
      </c>
      <c r="K11">
        <f t="shared" si="2"/>
        <v>1.13608</v>
      </c>
      <c r="L11">
        <f t="shared" si="3"/>
        <v>3.1145354254212485</v>
      </c>
      <c r="N11" t="s">
        <v>256</v>
      </c>
    </row>
    <row r="12" spans="1:14" x14ac:dyDescent="0.3">
      <c r="A12" t="s">
        <v>232</v>
      </c>
      <c r="B12" t="str">
        <f t="shared" si="4"/>
        <v>Employment: Missing</v>
      </c>
      <c r="C12" t="s">
        <v>224</v>
      </c>
      <c r="D12">
        <v>3.4289999999999998</v>
      </c>
      <c r="E12">
        <v>3.4830000000000001</v>
      </c>
      <c r="F12">
        <v>0.98499999999999999</v>
      </c>
      <c r="G12">
        <v>0.32500000000000001</v>
      </c>
      <c r="H12">
        <f t="shared" si="5"/>
        <v>30.845781540103914</v>
      </c>
      <c r="I12">
        <f t="shared" si="0"/>
        <v>-3.3976799999999998</v>
      </c>
      <c r="J12">
        <f t="shared" si="1"/>
        <v>3.3450785830274735E-2</v>
      </c>
      <c r="K12">
        <f t="shared" si="2"/>
        <v>10.25568</v>
      </c>
      <c r="L12">
        <f t="shared" si="3"/>
        <v>28443.643854808695</v>
      </c>
      <c r="N12" t="s">
        <v>247</v>
      </c>
    </row>
    <row r="13" spans="1:14" x14ac:dyDescent="0.3">
      <c r="A13" t="s">
        <v>232</v>
      </c>
      <c r="B13" t="str">
        <f t="shared" si="4"/>
        <v>Child in household</v>
      </c>
      <c r="C13" t="s">
        <v>224</v>
      </c>
      <c r="D13">
        <v>-1.1160000000000001</v>
      </c>
      <c r="E13">
        <v>0.439</v>
      </c>
      <c r="F13">
        <v>-2.54</v>
      </c>
      <c r="G13">
        <v>1.0999999999999999E-2</v>
      </c>
      <c r="H13">
        <f t="shared" si="5"/>
        <v>0.32758752752368953</v>
      </c>
      <c r="I13">
        <f t="shared" si="0"/>
        <v>-1.9764400000000002</v>
      </c>
      <c r="J13">
        <f t="shared" si="1"/>
        <v>0.13856163975202226</v>
      </c>
      <c r="K13">
        <f t="shared" si="2"/>
        <v>-0.25556000000000012</v>
      </c>
      <c r="L13">
        <f t="shared" si="3"/>
        <v>0.77448266620645134</v>
      </c>
      <c r="N13" t="s">
        <v>260</v>
      </c>
    </row>
    <row r="14" spans="1:14" x14ac:dyDescent="0.3">
      <c r="A14" t="s">
        <v>232</v>
      </c>
      <c r="B14" t="str">
        <f t="shared" si="4"/>
        <v>Child in household: Missing (Ref: No child)</v>
      </c>
      <c r="C14" t="s">
        <v>224</v>
      </c>
      <c r="D14">
        <v>-1.232</v>
      </c>
      <c r="E14">
        <v>0.67500000000000004</v>
      </c>
      <c r="F14">
        <v>-1.825</v>
      </c>
      <c r="G14">
        <v>6.8000000000000005E-2</v>
      </c>
      <c r="H14">
        <f t="shared" si="5"/>
        <v>0.29170857672112438</v>
      </c>
      <c r="I14">
        <f t="shared" si="0"/>
        <v>-2.5549999999999997</v>
      </c>
      <c r="J14">
        <f t="shared" si="1"/>
        <v>7.76922320673024E-2</v>
      </c>
      <c r="K14">
        <f t="shared" si="2"/>
        <v>9.099999999999997E-2</v>
      </c>
      <c r="L14">
        <f t="shared" si="3"/>
        <v>1.0952690052584653</v>
      </c>
      <c r="N14" t="s">
        <v>261</v>
      </c>
    </row>
    <row r="15" spans="1:14" x14ac:dyDescent="0.3">
      <c r="A15" t="s">
        <v>232</v>
      </c>
      <c r="B15" t="str">
        <f t="shared" si="4"/>
        <v>Income: Low tertile</v>
      </c>
      <c r="C15" t="s">
        <v>224</v>
      </c>
      <c r="D15">
        <v>23.803999999999998</v>
      </c>
      <c r="E15">
        <v>0.80300000000000005</v>
      </c>
      <c r="F15">
        <v>29.658000000000001</v>
      </c>
      <c r="G15">
        <v>0</v>
      </c>
      <c r="H15">
        <f t="shared" si="5"/>
        <v>21774382476.616005</v>
      </c>
      <c r="I15">
        <f t="shared" si="0"/>
        <v>22.230119999999999</v>
      </c>
      <c r="J15">
        <f t="shared" si="1"/>
        <v>4512512812.786273</v>
      </c>
      <c r="K15">
        <f t="shared" si="2"/>
        <v>25.377879999999998</v>
      </c>
      <c r="L15">
        <f t="shared" si="3"/>
        <v>105068672801.22183</v>
      </c>
      <c r="N15" t="s">
        <v>246</v>
      </c>
    </row>
    <row r="16" spans="1:14" x14ac:dyDescent="0.3">
      <c r="A16" t="s">
        <v>232</v>
      </c>
      <c r="B16" t="str">
        <f t="shared" si="4"/>
        <v>Income: High tertile</v>
      </c>
      <c r="C16" t="s">
        <v>224</v>
      </c>
      <c r="D16">
        <v>8.3000000000000007</v>
      </c>
      <c r="E16">
        <v>9.6000000000000002E-2</v>
      </c>
      <c r="F16">
        <v>86.700999999999993</v>
      </c>
      <c r="G16">
        <v>0</v>
      </c>
      <c r="H16">
        <f t="shared" si="5"/>
        <v>4023.8723938223129</v>
      </c>
      <c r="I16">
        <f t="shared" si="0"/>
        <v>8.1118400000000008</v>
      </c>
      <c r="J16">
        <f t="shared" si="1"/>
        <v>3333.7064098494479</v>
      </c>
      <c r="K16">
        <f t="shared" si="2"/>
        <v>8.4881600000000006</v>
      </c>
      <c r="L16">
        <f t="shared" si="3"/>
        <v>4856.9211115673888</v>
      </c>
      <c r="N16" t="s">
        <v>245</v>
      </c>
    </row>
    <row r="17" spans="1:14" x14ac:dyDescent="0.3">
      <c r="A17" t="s">
        <v>232</v>
      </c>
      <c r="B17" t="str">
        <f t="shared" si="4"/>
        <v>Income: Missing (Ref: Medium)</v>
      </c>
      <c r="C17" t="s">
        <v>224</v>
      </c>
      <c r="D17">
        <v>28.202999999999999</v>
      </c>
      <c r="E17">
        <v>0.14399999999999999</v>
      </c>
      <c r="F17">
        <v>195.97900000000001</v>
      </c>
      <c r="G17">
        <v>0</v>
      </c>
      <c r="H17">
        <f t="shared" si="5"/>
        <v>1771769711471.9385</v>
      </c>
      <c r="I17">
        <f t="shared" si="0"/>
        <v>27.920759999999998</v>
      </c>
      <c r="J17">
        <f t="shared" si="1"/>
        <v>1336078571076.865</v>
      </c>
      <c r="K17">
        <f t="shared" si="2"/>
        <v>28.485240000000001</v>
      </c>
      <c r="L17">
        <f t="shared" si="3"/>
        <v>2349538401741.7632</v>
      </c>
      <c r="N17" t="s">
        <v>258</v>
      </c>
    </row>
    <row r="18" spans="1:14" x14ac:dyDescent="0.3">
      <c r="A18" t="s">
        <v>232</v>
      </c>
      <c r="B18" t="str">
        <f t="shared" si="4"/>
        <v>Household member (Ref: Anchor)</v>
      </c>
      <c r="C18" t="s">
        <v>236</v>
      </c>
      <c r="D18">
        <v>0.621</v>
      </c>
      <c r="E18">
        <v>0.36</v>
      </c>
      <c r="F18">
        <v>1.728</v>
      </c>
      <c r="G18">
        <v>8.4000000000000005E-2</v>
      </c>
      <c r="H18">
        <f t="shared" si="5"/>
        <v>1.8607878996621081</v>
      </c>
      <c r="I18">
        <f t="shared" si="0"/>
        <v>-8.4600000000000009E-2</v>
      </c>
      <c r="J18">
        <f t="shared" si="1"/>
        <v>0.91887976280599915</v>
      </c>
      <c r="K18">
        <f t="shared" si="2"/>
        <v>1.3266</v>
      </c>
      <c r="L18">
        <f t="shared" si="3"/>
        <v>3.7682096697345111</v>
      </c>
      <c r="N18" t="s">
        <v>254</v>
      </c>
    </row>
    <row r="19" spans="1:14" x14ac:dyDescent="0.3">
      <c r="A19" t="s">
        <v>232</v>
      </c>
      <c r="B19" t="str">
        <f t="shared" si="4"/>
        <v>Age: Young tertile (Ref: Medium)</v>
      </c>
      <c r="C19" t="s">
        <v>225</v>
      </c>
      <c r="D19">
        <v>-0.70299999999999996</v>
      </c>
      <c r="E19">
        <v>0.372</v>
      </c>
      <c r="F19">
        <v>-1.8879999999999999</v>
      </c>
      <c r="G19">
        <v>5.8999999999999997E-2</v>
      </c>
      <c r="H19">
        <f t="shared" si="5"/>
        <v>0.49509778028094348</v>
      </c>
      <c r="I19">
        <f t="shared" si="0"/>
        <v>-1.4321199999999998</v>
      </c>
      <c r="J19">
        <f t="shared" si="1"/>
        <v>0.23880212472378154</v>
      </c>
      <c r="K19">
        <f t="shared" si="2"/>
        <v>2.6120000000000032E-2</v>
      </c>
      <c r="L19">
        <f t="shared" si="3"/>
        <v>1.0264641167772093</v>
      </c>
      <c r="N19" t="s">
        <v>244</v>
      </c>
    </row>
    <row r="20" spans="1:14" x14ac:dyDescent="0.3">
      <c r="A20" t="s">
        <v>232</v>
      </c>
      <c r="B20" t="str">
        <f t="shared" si="4"/>
        <v>Age: Old tertile</v>
      </c>
      <c r="C20" t="s">
        <v>225</v>
      </c>
      <c r="D20">
        <v>0.21099999999999999</v>
      </c>
      <c r="E20">
        <v>0.71099999999999997</v>
      </c>
      <c r="F20">
        <v>0.29699999999999999</v>
      </c>
      <c r="G20">
        <v>0.76600000000000001</v>
      </c>
      <c r="H20">
        <f t="shared" si="5"/>
        <v>1.2349123550613943</v>
      </c>
      <c r="I20">
        <f t="shared" si="0"/>
        <v>-1.1825599999999998</v>
      </c>
      <c r="J20">
        <f t="shared" si="1"/>
        <v>0.30649311106261901</v>
      </c>
      <c r="K20">
        <f t="shared" si="2"/>
        <v>1.60456</v>
      </c>
      <c r="L20">
        <f t="shared" si="3"/>
        <v>4.9756698263006243</v>
      </c>
      <c r="N20" t="s">
        <v>251</v>
      </c>
    </row>
    <row r="21" spans="1:14" x14ac:dyDescent="0.3">
      <c r="A21" t="s">
        <v>232</v>
      </c>
      <c r="B21" t="str">
        <f t="shared" si="4"/>
        <v>Gender: Female (Ref: Not female</v>
      </c>
      <c r="C21" t="s">
        <v>225</v>
      </c>
      <c r="D21">
        <v>0.34300000000000003</v>
      </c>
      <c r="E21">
        <v>0.308</v>
      </c>
      <c r="F21">
        <v>1.113</v>
      </c>
      <c r="G21">
        <v>0.26600000000000001</v>
      </c>
      <c r="H21">
        <f t="shared" si="5"/>
        <v>1.4091687619264508</v>
      </c>
      <c r="I21">
        <f t="shared" si="0"/>
        <v>-0.26067999999999997</v>
      </c>
      <c r="J21">
        <f t="shared" si="1"/>
        <v>0.77052744895194614</v>
      </c>
      <c r="K21">
        <f t="shared" si="2"/>
        <v>0.94667999999999997</v>
      </c>
      <c r="L21">
        <f t="shared" si="3"/>
        <v>2.577139337852671</v>
      </c>
      <c r="N21" t="s">
        <v>114</v>
      </c>
    </row>
    <row r="22" spans="1:14" x14ac:dyDescent="0.3">
      <c r="A22" t="s">
        <v>232</v>
      </c>
      <c r="B22" t="str">
        <f t="shared" si="4"/>
        <v>Migration (Ref: No)</v>
      </c>
      <c r="C22" t="s">
        <v>225</v>
      </c>
      <c r="D22">
        <v>0.182</v>
      </c>
      <c r="E22">
        <v>0.36199999999999999</v>
      </c>
      <c r="F22">
        <v>0.503</v>
      </c>
      <c r="G22">
        <v>0.61499999999999999</v>
      </c>
      <c r="H22">
        <f t="shared" si="5"/>
        <v>1.1996141938798683</v>
      </c>
      <c r="I22">
        <f t="shared" si="0"/>
        <v>-0.52751999999999999</v>
      </c>
      <c r="J22">
        <f t="shared" si="1"/>
        <v>0.59006652157841966</v>
      </c>
      <c r="K22">
        <f t="shared" si="2"/>
        <v>0.89151999999999987</v>
      </c>
      <c r="L22">
        <f t="shared" si="3"/>
        <v>2.4388338628474342</v>
      </c>
      <c r="N22" t="s">
        <v>253</v>
      </c>
    </row>
    <row r="23" spans="1:14" x14ac:dyDescent="0.3">
      <c r="A23" t="s">
        <v>232</v>
      </c>
      <c r="B23" t="str">
        <f t="shared" si="4"/>
        <v>Education: Tertiary (Ref: Non-tert.)</v>
      </c>
      <c r="C23" t="s">
        <v>225</v>
      </c>
      <c r="D23">
        <v>0.17299999999999999</v>
      </c>
      <c r="E23">
        <v>0.30099999999999999</v>
      </c>
      <c r="F23">
        <v>0.57499999999999996</v>
      </c>
      <c r="G23">
        <v>0.56499999999999995</v>
      </c>
      <c r="H23">
        <f t="shared" si="5"/>
        <v>1.1888661050840321</v>
      </c>
      <c r="I23">
        <f t="shared" si="0"/>
        <v>-0.41695999999999994</v>
      </c>
      <c r="J23">
        <f t="shared" si="1"/>
        <v>0.65904728130814227</v>
      </c>
      <c r="K23">
        <f t="shared" si="2"/>
        <v>0.76295999999999986</v>
      </c>
      <c r="L23">
        <f t="shared" si="3"/>
        <v>2.1446148947192616</v>
      </c>
      <c r="N23" t="s">
        <v>252</v>
      </c>
    </row>
    <row r="24" spans="1:14" x14ac:dyDescent="0.3">
      <c r="A24" t="s">
        <v>232</v>
      </c>
      <c r="B24" t="str">
        <f t="shared" si="4"/>
        <v>Education: Missing</v>
      </c>
      <c r="C24" t="s">
        <v>225</v>
      </c>
      <c r="D24">
        <v>1.554</v>
      </c>
      <c r="E24">
        <v>1.3540000000000001</v>
      </c>
      <c r="F24">
        <v>1.1479999999999999</v>
      </c>
      <c r="G24">
        <v>0.251</v>
      </c>
      <c r="H24">
        <f t="shared" si="5"/>
        <v>4.7303538053885434</v>
      </c>
      <c r="I24">
        <f t="shared" si="0"/>
        <v>-1.0998400000000002</v>
      </c>
      <c r="J24">
        <f t="shared" si="1"/>
        <v>0.3329243473324483</v>
      </c>
      <c r="K24">
        <f t="shared" si="2"/>
        <v>4.20784</v>
      </c>
      <c r="L24">
        <f t="shared" si="3"/>
        <v>67.211206700390747</v>
      </c>
      <c r="N24" t="s">
        <v>250</v>
      </c>
    </row>
    <row r="25" spans="1:14" x14ac:dyDescent="0.3">
      <c r="A25" t="s">
        <v>232</v>
      </c>
      <c r="B25" t="str">
        <f t="shared" si="4"/>
        <v>Employment: Part-time</v>
      </c>
      <c r="C25" t="s">
        <v>225</v>
      </c>
      <c r="D25">
        <v>-0.27300000000000002</v>
      </c>
      <c r="E25">
        <v>0.40600000000000003</v>
      </c>
      <c r="F25">
        <v>-0.67300000000000004</v>
      </c>
      <c r="G25">
        <v>0.501</v>
      </c>
      <c r="H25">
        <f t="shared" si="5"/>
        <v>0.76109278762893429</v>
      </c>
      <c r="I25">
        <f t="shared" si="0"/>
        <v>-1.0687600000000002</v>
      </c>
      <c r="J25">
        <f t="shared" si="1"/>
        <v>0.34343411179428585</v>
      </c>
      <c r="K25">
        <f t="shared" si="2"/>
        <v>0.52276</v>
      </c>
      <c r="L25">
        <f t="shared" si="3"/>
        <v>1.6866764584170229</v>
      </c>
      <c r="N25" t="s">
        <v>248</v>
      </c>
    </row>
    <row r="26" spans="1:14" x14ac:dyDescent="0.3">
      <c r="A26" t="s">
        <v>232</v>
      </c>
      <c r="B26" t="str">
        <f t="shared" si="4"/>
        <v>Employment: None</v>
      </c>
      <c r="C26" t="s">
        <v>225</v>
      </c>
      <c r="D26">
        <v>-4.9000000000000002E-2</v>
      </c>
      <c r="E26">
        <v>0.39400000000000002</v>
      </c>
      <c r="F26">
        <v>-0.124</v>
      </c>
      <c r="G26">
        <v>0.90200000000000002</v>
      </c>
      <c r="H26">
        <f t="shared" si="5"/>
        <v>0.95218112969850488</v>
      </c>
      <c r="I26">
        <f t="shared" si="0"/>
        <v>-0.82124000000000008</v>
      </c>
      <c r="J26">
        <f t="shared" si="1"/>
        <v>0.43988585771835487</v>
      </c>
      <c r="K26">
        <f t="shared" si="2"/>
        <v>0.72323999999999999</v>
      </c>
      <c r="L26">
        <f t="shared" si="3"/>
        <v>2.061100369210823</v>
      </c>
      <c r="N26" t="s">
        <v>249</v>
      </c>
    </row>
    <row r="27" spans="1:14" x14ac:dyDescent="0.3">
      <c r="A27" t="s">
        <v>232</v>
      </c>
      <c r="B27" t="str">
        <f t="shared" si="4"/>
        <v>Employment: Retired (Ref: Full)</v>
      </c>
      <c r="C27" t="s">
        <v>225</v>
      </c>
      <c r="D27">
        <v>-0.52500000000000002</v>
      </c>
      <c r="E27">
        <v>0.78</v>
      </c>
      <c r="F27">
        <v>-0.67300000000000004</v>
      </c>
      <c r="G27">
        <v>0.501</v>
      </c>
      <c r="H27">
        <f t="shared" si="5"/>
        <v>0.59155536436681511</v>
      </c>
      <c r="I27">
        <f t="shared" si="0"/>
        <v>-2.0537999999999998</v>
      </c>
      <c r="J27">
        <f t="shared" si="1"/>
        <v>0.12824663924396848</v>
      </c>
      <c r="K27">
        <f t="shared" si="2"/>
        <v>1.0038</v>
      </c>
      <c r="L27">
        <f t="shared" si="3"/>
        <v>2.7286309502852193</v>
      </c>
      <c r="N27" t="s">
        <v>256</v>
      </c>
    </row>
    <row r="28" spans="1:14" x14ac:dyDescent="0.3">
      <c r="A28" t="s">
        <v>232</v>
      </c>
      <c r="B28" t="str">
        <f t="shared" si="4"/>
        <v>Employment: Missing</v>
      </c>
      <c r="C28" t="s">
        <v>225</v>
      </c>
      <c r="D28">
        <v>27.358000000000001</v>
      </c>
      <c r="E28">
        <v>0</v>
      </c>
      <c r="G28">
        <v>0</v>
      </c>
      <c r="H28">
        <f t="shared" si="5"/>
        <v>761076716617.69031</v>
      </c>
      <c r="I28">
        <f t="shared" si="0"/>
        <v>27.358000000000001</v>
      </c>
      <c r="J28">
        <f t="shared" si="1"/>
        <v>761076716617.69031</v>
      </c>
      <c r="K28">
        <f t="shared" si="2"/>
        <v>27.358000000000001</v>
      </c>
      <c r="L28">
        <f t="shared" si="3"/>
        <v>761076716617.69031</v>
      </c>
      <c r="N28" t="s">
        <v>247</v>
      </c>
    </row>
    <row r="29" spans="1:14" x14ac:dyDescent="0.3">
      <c r="A29" t="s">
        <v>232</v>
      </c>
      <c r="B29" t="str">
        <f t="shared" si="4"/>
        <v>Child in household</v>
      </c>
      <c r="C29" t="s">
        <v>225</v>
      </c>
      <c r="D29">
        <v>-0.95299999999999996</v>
      </c>
      <c r="E29">
        <v>0.443</v>
      </c>
      <c r="F29">
        <v>-2.1509999999999998</v>
      </c>
      <c r="G29">
        <v>3.1E-2</v>
      </c>
      <c r="H29">
        <f t="shared" si="5"/>
        <v>0.38558253897971312</v>
      </c>
      <c r="I29">
        <f t="shared" si="0"/>
        <v>-1.8212799999999998</v>
      </c>
      <c r="J29">
        <f t="shared" si="1"/>
        <v>0.16181849064756662</v>
      </c>
      <c r="K29">
        <f t="shared" si="2"/>
        <v>-8.4720000000000018E-2</v>
      </c>
      <c r="L29">
        <f t="shared" si="3"/>
        <v>0.91876950385013201</v>
      </c>
      <c r="N29" t="s">
        <v>260</v>
      </c>
    </row>
    <row r="30" spans="1:14" x14ac:dyDescent="0.3">
      <c r="A30" t="s">
        <v>232</v>
      </c>
      <c r="B30" t="str">
        <f t="shared" si="4"/>
        <v>Child in household: Missing (Ref: No child)</v>
      </c>
      <c r="C30" t="s">
        <v>225</v>
      </c>
      <c r="D30">
        <v>-0.56299999999999994</v>
      </c>
      <c r="E30">
        <v>0.73399999999999999</v>
      </c>
      <c r="F30">
        <v>-0.76700000000000002</v>
      </c>
      <c r="G30">
        <v>0.443</v>
      </c>
      <c r="H30">
        <f t="shared" si="5"/>
        <v>0.56949800452954169</v>
      </c>
      <c r="I30">
        <f t="shared" si="0"/>
        <v>-2.0016400000000001</v>
      </c>
      <c r="J30">
        <f t="shared" si="1"/>
        <v>0.13511351527154158</v>
      </c>
      <c r="K30">
        <f t="shared" si="2"/>
        <v>0.87563999999999997</v>
      </c>
      <c r="L30">
        <f t="shared" si="3"/>
        <v>2.4004110655497222</v>
      </c>
      <c r="N30" t="s">
        <v>261</v>
      </c>
    </row>
    <row r="31" spans="1:14" x14ac:dyDescent="0.3">
      <c r="A31" t="s">
        <v>232</v>
      </c>
      <c r="B31" t="str">
        <f t="shared" si="4"/>
        <v>Income: Low tertile</v>
      </c>
      <c r="C31" t="s">
        <v>225</v>
      </c>
      <c r="D31">
        <v>23.85</v>
      </c>
      <c r="E31">
        <v>0.80100000000000005</v>
      </c>
      <c r="F31">
        <v>29.785</v>
      </c>
      <c r="G31">
        <v>0</v>
      </c>
      <c r="H31">
        <f t="shared" si="5"/>
        <v>22799398705.653824</v>
      </c>
      <c r="I31">
        <f t="shared" si="0"/>
        <v>22.28004</v>
      </c>
      <c r="J31">
        <f t="shared" si="1"/>
        <v>4743494797.3453064</v>
      </c>
      <c r="K31">
        <f t="shared" si="2"/>
        <v>25.419960000000003</v>
      </c>
      <c r="L31">
        <f t="shared" si="3"/>
        <v>109584305147.81676</v>
      </c>
      <c r="N31" t="s">
        <v>246</v>
      </c>
    </row>
    <row r="32" spans="1:14" x14ac:dyDescent="0.3">
      <c r="A32" t="s">
        <v>232</v>
      </c>
      <c r="B32" t="str">
        <f t="shared" si="4"/>
        <v>Income: High tertile</v>
      </c>
      <c r="C32" t="s">
        <v>225</v>
      </c>
      <c r="D32">
        <v>8.1920000000000002</v>
      </c>
      <c r="E32">
        <v>0</v>
      </c>
      <c r="G32">
        <v>0</v>
      </c>
      <c r="H32">
        <f t="shared" si="5"/>
        <v>3611.9389052095007</v>
      </c>
      <c r="I32">
        <f t="shared" si="0"/>
        <v>8.1920000000000002</v>
      </c>
      <c r="J32">
        <f t="shared" si="1"/>
        <v>3611.9389052095007</v>
      </c>
      <c r="K32">
        <f t="shared" si="2"/>
        <v>8.1920000000000002</v>
      </c>
      <c r="L32">
        <f t="shared" si="3"/>
        <v>3611.9389052095007</v>
      </c>
      <c r="N32" t="s">
        <v>245</v>
      </c>
    </row>
    <row r="33" spans="1:14" x14ac:dyDescent="0.3">
      <c r="A33" t="s">
        <v>232</v>
      </c>
      <c r="B33" t="str">
        <f t="shared" si="4"/>
        <v>Income: Missing (Ref: Medium)</v>
      </c>
      <c r="C33" t="s">
        <v>225</v>
      </c>
      <c r="D33">
        <v>28.399000000000001</v>
      </c>
      <c r="E33">
        <v>0</v>
      </c>
      <c r="G33">
        <v>0</v>
      </c>
      <c r="H33">
        <f t="shared" si="5"/>
        <v>2155405524062.0349</v>
      </c>
      <c r="I33">
        <f t="shared" si="0"/>
        <v>28.399000000000001</v>
      </c>
      <c r="J33">
        <f t="shared" si="1"/>
        <v>2155405524062.0349</v>
      </c>
      <c r="K33">
        <f t="shared" si="2"/>
        <v>28.399000000000001</v>
      </c>
      <c r="L33">
        <f t="shared" si="3"/>
        <v>2155405524062.0349</v>
      </c>
      <c r="N33" t="s">
        <v>258</v>
      </c>
    </row>
    <row r="34" spans="1:14" x14ac:dyDescent="0.3">
      <c r="A34" t="s">
        <v>232</v>
      </c>
      <c r="B34" t="str">
        <f t="shared" si="4"/>
        <v>Household member (Ref: Anchor)</v>
      </c>
      <c r="C34" t="s">
        <v>223</v>
      </c>
      <c r="D34">
        <v>-4.8000000000000001E-2</v>
      </c>
      <c r="E34">
        <v>0.08</v>
      </c>
      <c r="F34">
        <v>-0.60299999999999998</v>
      </c>
      <c r="G34">
        <v>0.54700000000000004</v>
      </c>
      <c r="H34">
        <f t="shared" si="5"/>
        <v>0.95313378707750473</v>
      </c>
      <c r="I34">
        <f t="shared" si="0"/>
        <v>-0.20479999999999998</v>
      </c>
      <c r="J34">
        <f t="shared" si="1"/>
        <v>0.81481026216872943</v>
      </c>
      <c r="K34">
        <f t="shared" si="2"/>
        <v>0.10879999999999999</v>
      </c>
      <c r="L34">
        <f t="shared" si="3"/>
        <v>1.1149393401731398</v>
      </c>
      <c r="N34" t="s">
        <v>254</v>
      </c>
    </row>
    <row r="35" spans="1:14" x14ac:dyDescent="0.3">
      <c r="A35" t="s">
        <v>232</v>
      </c>
      <c r="B35" t="str">
        <f t="shared" si="4"/>
        <v>Age: Young tertile (Ref: Medium)</v>
      </c>
      <c r="C35" t="s">
        <v>223</v>
      </c>
      <c r="D35">
        <v>-0.19700000000000001</v>
      </c>
      <c r="E35">
        <v>8.5000000000000006E-2</v>
      </c>
      <c r="F35">
        <v>-2.33</v>
      </c>
      <c r="G35">
        <v>0.02</v>
      </c>
      <c r="H35">
        <f t="shared" si="5"/>
        <v>0.82119063331265796</v>
      </c>
      <c r="I35">
        <f t="shared" si="0"/>
        <v>-0.36360000000000003</v>
      </c>
      <c r="J35">
        <f t="shared" si="1"/>
        <v>0.69516920681951622</v>
      </c>
      <c r="K35">
        <f t="shared" si="2"/>
        <v>-3.040000000000001E-2</v>
      </c>
      <c r="L35">
        <f t="shared" si="3"/>
        <v>0.97005743296038105</v>
      </c>
      <c r="N35" t="s">
        <v>244</v>
      </c>
    </row>
    <row r="36" spans="1:14" x14ac:dyDescent="0.3">
      <c r="A36" t="s">
        <v>232</v>
      </c>
      <c r="B36" t="str">
        <f t="shared" si="4"/>
        <v>Age: Old tertile</v>
      </c>
      <c r="C36" t="s">
        <v>223</v>
      </c>
      <c r="D36">
        <v>-0.19400000000000001</v>
      </c>
      <c r="E36">
        <v>0.154</v>
      </c>
      <c r="F36">
        <v>-1.26</v>
      </c>
      <c r="G36">
        <v>0.20799999999999999</v>
      </c>
      <c r="H36">
        <f t="shared" si="5"/>
        <v>0.82365790426857688</v>
      </c>
      <c r="I36">
        <f t="shared" si="0"/>
        <v>-0.49584</v>
      </c>
      <c r="J36">
        <f t="shared" si="1"/>
        <v>0.60905908273059328</v>
      </c>
      <c r="K36">
        <f t="shared" si="2"/>
        <v>0.10783999999999999</v>
      </c>
      <c r="L36">
        <f t="shared" si="3"/>
        <v>1.1138695120062565</v>
      </c>
      <c r="N36" t="s">
        <v>251</v>
      </c>
    </row>
    <row r="37" spans="1:14" x14ac:dyDescent="0.3">
      <c r="A37" t="s">
        <v>232</v>
      </c>
      <c r="B37" t="str">
        <f t="shared" si="4"/>
        <v>Gender: Female (Ref: Not female</v>
      </c>
      <c r="C37" t="s">
        <v>223</v>
      </c>
      <c r="D37">
        <v>-0.154</v>
      </c>
      <c r="E37">
        <v>7.5999999999999998E-2</v>
      </c>
      <c r="F37">
        <v>-2.0249999999999999</v>
      </c>
      <c r="G37">
        <v>4.2999999999999997E-2</v>
      </c>
      <c r="H37">
        <f t="shared" si="5"/>
        <v>0.8572720210114575</v>
      </c>
      <c r="I37">
        <f t="shared" si="0"/>
        <v>-0.30296000000000001</v>
      </c>
      <c r="J37">
        <f t="shared" si="1"/>
        <v>0.73862864092522451</v>
      </c>
      <c r="K37">
        <f t="shared" si="2"/>
        <v>-5.0400000000000167E-3</v>
      </c>
      <c r="L37">
        <f t="shared" si="3"/>
        <v>0.99497267948951396</v>
      </c>
      <c r="N37" t="s">
        <v>114</v>
      </c>
    </row>
    <row r="38" spans="1:14" x14ac:dyDescent="0.3">
      <c r="A38" t="s">
        <v>232</v>
      </c>
      <c r="B38" t="str">
        <f t="shared" si="4"/>
        <v>Migration (Ref: No)</v>
      </c>
      <c r="C38" t="s">
        <v>223</v>
      </c>
      <c r="D38">
        <v>4.0000000000000001E-3</v>
      </c>
      <c r="E38">
        <v>9.6000000000000002E-2</v>
      </c>
      <c r="F38">
        <v>4.2000000000000003E-2</v>
      </c>
      <c r="G38">
        <v>0.96599999999999997</v>
      </c>
      <c r="H38">
        <f t="shared" si="5"/>
        <v>1.0040080106773419</v>
      </c>
      <c r="I38">
        <f t="shared" si="0"/>
        <v>-0.18415999999999999</v>
      </c>
      <c r="J38">
        <f t="shared" si="1"/>
        <v>0.83180270474626983</v>
      </c>
      <c r="K38">
        <f t="shared" si="2"/>
        <v>0.19216</v>
      </c>
      <c r="L38">
        <f t="shared" si="3"/>
        <v>1.2118643997578247</v>
      </c>
      <c r="N38" t="s">
        <v>253</v>
      </c>
    </row>
    <row r="39" spans="1:14" x14ac:dyDescent="0.3">
      <c r="A39" t="s">
        <v>232</v>
      </c>
      <c r="B39" t="str">
        <f t="shared" si="4"/>
        <v>Education: Tertiary (Ref: Non-tert.)</v>
      </c>
      <c r="C39" t="s">
        <v>223</v>
      </c>
      <c r="D39">
        <v>-8.5999999999999993E-2</v>
      </c>
      <c r="E39">
        <v>7.6999999999999999E-2</v>
      </c>
      <c r="F39">
        <v>-1.107</v>
      </c>
      <c r="G39">
        <v>0.26800000000000002</v>
      </c>
      <c r="H39">
        <f t="shared" si="5"/>
        <v>0.91759423122015094</v>
      </c>
      <c r="I39">
        <f t="shared" si="0"/>
        <v>-0.23691999999999999</v>
      </c>
      <c r="J39">
        <f t="shared" si="1"/>
        <v>0.78905440984549058</v>
      </c>
      <c r="K39">
        <f t="shared" si="2"/>
        <v>6.4920000000000005E-2</v>
      </c>
      <c r="L39">
        <f t="shared" si="3"/>
        <v>1.0670736550770596</v>
      </c>
      <c r="N39" t="s">
        <v>252</v>
      </c>
    </row>
    <row r="40" spans="1:14" x14ac:dyDescent="0.3">
      <c r="A40" t="s">
        <v>232</v>
      </c>
      <c r="B40" t="str">
        <f t="shared" si="4"/>
        <v>Education: Missing</v>
      </c>
      <c r="C40" t="s">
        <v>223</v>
      </c>
      <c r="D40">
        <v>1.4390000000000001</v>
      </c>
      <c r="E40">
        <v>1.1140000000000001</v>
      </c>
      <c r="F40">
        <v>1.292</v>
      </c>
      <c r="G40">
        <v>0.19600000000000001</v>
      </c>
      <c r="H40">
        <f t="shared" si="5"/>
        <v>4.2164772308241911</v>
      </c>
      <c r="I40">
        <f t="shared" si="0"/>
        <v>-0.74443999999999999</v>
      </c>
      <c r="J40">
        <f t="shared" si="1"/>
        <v>0.47500022560011412</v>
      </c>
      <c r="K40">
        <f t="shared" si="2"/>
        <v>3.6224400000000001</v>
      </c>
      <c r="L40">
        <f t="shared" si="3"/>
        <v>37.428782724465663</v>
      </c>
      <c r="N40" t="s">
        <v>250</v>
      </c>
    </row>
    <row r="41" spans="1:14" x14ac:dyDescent="0.3">
      <c r="A41" t="s">
        <v>232</v>
      </c>
      <c r="B41" t="str">
        <f t="shared" si="4"/>
        <v>Employment: Part-time</v>
      </c>
      <c r="C41" t="s">
        <v>223</v>
      </c>
      <c r="D41">
        <v>-0.185</v>
      </c>
      <c r="E41">
        <v>0.107</v>
      </c>
      <c r="F41">
        <v>-1.7330000000000001</v>
      </c>
      <c r="G41">
        <v>8.3000000000000004E-2</v>
      </c>
      <c r="H41">
        <f t="shared" si="5"/>
        <v>0.83110428385212565</v>
      </c>
      <c r="I41">
        <f t="shared" si="0"/>
        <v>-0.39471999999999996</v>
      </c>
      <c r="J41">
        <f t="shared" si="1"/>
        <v>0.67386869607057986</v>
      </c>
      <c r="K41">
        <f t="shared" si="2"/>
        <v>2.4719999999999992E-2</v>
      </c>
      <c r="L41">
        <f t="shared" si="3"/>
        <v>1.0250280724792837</v>
      </c>
      <c r="N41" t="s">
        <v>248</v>
      </c>
    </row>
    <row r="42" spans="1:14" x14ac:dyDescent="0.3">
      <c r="A42" t="s">
        <v>232</v>
      </c>
      <c r="B42" t="str">
        <f t="shared" si="4"/>
        <v>Employment: None</v>
      </c>
      <c r="C42" t="s">
        <v>223</v>
      </c>
      <c r="D42">
        <v>-0.24199999999999999</v>
      </c>
      <c r="E42">
        <v>0.111</v>
      </c>
      <c r="F42">
        <v>-2.1739999999999999</v>
      </c>
      <c r="G42">
        <v>0.03</v>
      </c>
      <c r="H42">
        <f t="shared" si="5"/>
        <v>0.78505617755182955</v>
      </c>
      <c r="I42">
        <f t="shared" si="0"/>
        <v>-0.45955999999999997</v>
      </c>
      <c r="J42">
        <f t="shared" si="1"/>
        <v>0.63156147142816943</v>
      </c>
      <c r="K42">
        <f t="shared" si="2"/>
        <v>-2.443999999999999E-2</v>
      </c>
      <c r="L42">
        <f t="shared" si="3"/>
        <v>0.97585623853621339</v>
      </c>
      <c r="N42" t="s">
        <v>249</v>
      </c>
    </row>
    <row r="43" spans="1:14" x14ac:dyDescent="0.3">
      <c r="A43" t="s">
        <v>232</v>
      </c>
      <c r="B43" t="str">
        <f t="shared" si="4"/>
        <v>Employment: Retired (Ref: Full)</v>
      </c>
      <c r="C43" t="s">
        <v>223</v>
      </c>
      <c r="D43">
        <v>-0.14599999999999999</v>
      </c>
      <c r="E43">
        <v>0.16600000000000001</v>
      </c>
      <c r="F43">
        <v>-0.878</v>
      </c>
      <c r="G43">
        <v>0.38</v>
      </c>
      <c r="H43">
        <f t="shared" si="5"/>
        <v>0.8641577031846428</v>
      </c>
      <c r="I43">
        <f t="shared" si="0"/>
        <v>-0.47136</v>
      </c>
      <c r="J43">
        <f t="shared" si="1"/>
        <v>0.62415284293799544</v>
      </c>
      <c r="K43">
        <f t="shared" si="2"/>
        <v>0.17936000000000005</v>
      </c>
      <c r="L43">
        <f t="shared" si="3"/>
        <v>1.1964513891472295</v>
      </c>
      <c r="N43" t="s">
        <v>256</v>
      </c>
    </row>
    <row r="44" spans="1:14" x14ac:dyDescent="0.3">
      <c r="A44" t="s">
        <v>232</v>
      </c>
      <c r="B44" t="str">
        <f t="shared" si="4"/>
        <v>Employment: Missing</v>
      </c>
      <c r="C44" t="s">
        <v>223</v>
      </c>
      <c r="D44">
        <v>23.928999999999998</v>
      </c>
      <c r="E44">
        <v>3.4830000000000001</v>
      </c>
      <c r="F44">
        <v>6.8710000000000004</v>
      </c>
      <c r="G44">
        <v>0</v>
      </c>
      <c r="H44">
        <f t="shared" si="5"/>
        <v>24673607819.862835</v>
      </c>
      <c r="I44">
        <f t="shared" si="0"/>
        <v>17.102319999999999</v>
      </c>
      <c r="J44">
        <f t="shared" si="1"/>
        <v>26757356.423903506</v>
      </c>
      <c r="K44">
        <f t="shared" si="2"/>
        <v>30.755679999999998</v>
      </c>
      <c r="L44">
        <f t="shared" si="3"/>
        <v>22752132654799.215</v>
      </c>
      <c r="N44" t="s">
        <v>247</v>
      </c>
    </row>
    <row r="45" spans="1:14" x14ac:dyDescent="0.3">
      <c r="A45" t="s">
        <v>232</v>
      </c>
      <c r="B45" t="str">
        <f t="shared" si="4"/>
        <v>Child in household</v>
      </c>
      <c r="C45" t="s">
        <v>223</v>
      </c>
      <c r="D45">
        <v>0.16300000000000001</v>
      </c>
      <c r="E45">
        <v>8.6999999999999994E-2</v>
      </c>
      <c r="F45">
        <v>1.8839999999999999</v>
      </c>
      <c r="G45">
        <v>0.06</v>
      </c>
      <c r="H45">
        <f t="shared" si="5"/>
        <v>1.177036689688467</v>
      </c>
      <c r="I45">
        <f t="shared" si="0"/>
        <v>-7.5199999999999712E-3</v>
      </c>
      <c r="J45">
        <f t="shared" si="1"/>
        <v>0.99250820445654642</v>
      </c>
      <c r="K45">
        <f t="shared" si="2"/>
        <v>0.33351999999999998</v>
      </c>
      <c r="L45">
        <f t="shared" si="3"/>
        <v>1.3958729637216216</v>
      </c>
      <c r="N45" t="s">
        <v>260</v>
      </c>
    </row>
    <row r="46" spans="1:14" x14ac:dyDescent="0.3">
      <c r="A46" t="s">
        <v>232</v>
      </c>
      <c r="B46" t="str">
        <f t="shared" si="4"/>
        <v>Child in household: Missing (Ref: No child)</v>
      </c>
      <c r="C46" t="s">
        <v>223</v>
      </c>
      <c r="D46">
        <v>0.66900000000000004</v>
      </c>
      <c r="E46">
        <v>0.38800000000000001</v>
      </c>
      <c r="F46">
        <v>1.724</v>
      </c>
      <c r="G46">
        <v>8.5000000000000006E-2</v>
      </c>
      <c r="H46">
        <f t="shared" si="5"/>
        <v>1.9522840601083391</v>
      </c>
      <c r="I46">
        <f t="shared" si="0"/>
        <v>-9.1480000000000006E-2</v>
      </c>
      <c r="J46">
        <f t="shared" si="1"/>
        <v>0.91257956756084768</v>
      </c>
      <c r="K46">
        <f t="shared" si="2"/>
        <v>1.4294800000000001</v>
      </c>
      <c r="L46">
        <f t="shared" si="3"/>
        <v>4.1765268332056635</v>
      </c>
      <c r="N46" t="s">
        <v>261</v>
      </c>
    </row>
    <row r="47" spans="1:14" x14ac:dyDescent="0.3">
      <c r="A47" t="s">
        <v>232</v>
      </c>
      <c r="B47" t="str">
        <f t="shared" si="4"/>
        <v>Income: Low tertile</v>
      </c>
      <c r="C47" t="s">
        <v>223</v>
      </c>
      <c r="D47">
        <v>4.7E-2</v>
      </c>
      <c r="E47">
        <v>0.10199999999999999</v>
      </c>
      <c r="F47">
        <v>0.45700000000000002</v>
      </c>
      <c r="G47">
        <v>0.64800000000000002</v>
      </c>
      <c r="H47">
        <f t="shared" si="5"/>
        <v>1.0481220090796557</v>
      </c>
      <c r="I47">
        <f t="shared" si="0"/>
        <v>-0.15292</v>
      </c>
      <c r="J47">
        <f t="shared" si="1"/>
        <v>0.8581983749352271</v>
      </c>
      <c r="K47">
        <f t="shared" si="2"/>
        <v>0.24691999999999997</v>
      </c>
      <c r="L47">
        <f t="shared" si="3"/>
        <v>1.2800767025457116</v>
      </c>
      <c r="N47" t="s">
        <v>246</v>
      </c>
    </row>
    <row r="48" spans="1:14" x14ac:dyDescent="0.3">
      <c r="A48" t="s">
        <v>232</v>
      </c>
      <c r="B48" t="str">
        <f t="shared" si="4"/>
        <v>Income: High tertile</v>
      </c>
      <c r="C48" t="s">
        <v>223</v>
      </c>
      <c r="D48">
        <v>-0.108</v>
      </c>
      <c r="E48">
        <v>9.6000000000000002E-2</v>
      </c>
      <c r="F48">
        <v>-1.125</v>
      </c>
      <c r="G48">
        <v>0.26100000000000001</v>
      </c>
      <c r="H48">
        <f t="shared" si="5"/>
        <v>0.89762759643043488</v>
      </c>
      <c r="I48">
        <f t="shared" si="0"/>
        <v>-0.29615999999999998</v>
      </c>
      <c r="J48">
        <f t="shared" si="1"/>
        <v>0.74366843155166773</v>
      </c>
      <c r="K48">
        <f t="shared" si="2"/>
        <v>8.0159999999999995E-2</v>
      </c>
      <c r="L48">
        <f t="shared" si="3"/>
        <v>1.0834604074726006</v>
      </c>
      <c r="N48" t="s">
        <v>245</v>
      </c>
    </row>
    <row r="49" spans="1:14" x14ac:dyDescent="0.3">
      <c r="A49" t="s">
        <v>232</v>
      </c>
      <c r="B49" t="str">
        <f t="shared" si="4"/>
        <v>Income: Missing (Ref: Medium)</v>
      </c>
      <c r="C49" s="75" t="s">
        <v>223</v>
      </c>
      <c r="D49" s="75">
        <v>0.19600000000000001</v>
      </c>
      <c r="E49" s="75">
        <v>0.14399999999999999</v>
      </c>
      <c r="F49" s="75">
        <v>1.363</v>
      </c>
      <c r="G49" s="75">
        <v>0.17299999999999999</v>
      </c>
      <c r="H49">
        <f t="shared" si="5"/>
        <v>1.2165269053343162</v>
      </c>
      <c r="I49">
        <f t="shared" si="0"/>
        <v>-8.6239999999999983E-2</v>
      </c>
      <c r="J49">
        <f t="shared" si="1"/>
        <v>0.91737403502925796</v>
      </c>
      <c r="K49">
        <f t="shared" si="2"/>
        <v>0.47824</v>
      </c>
      <c r="L49">
        <f t="shared" si="3"/>
        <v>1.6132326127533012</v>
      </c>
      <c r="N49" t="s">
        <v>258</v>
      </c>
    </row>
    <row r="50" spans="1:14" x14ac:dyDescent="0.3">
      <c r="A50" t="s">
        <v>233</v>
      </c>
      <c r="B50" t="str">
        <f t="shared" si="4"/>
        <v>Household member (Ref: Anchor)</v>
      </c>
      <c r="C50" t="s">
        <v>224</v>
      </c>
      <c r="D50">
        <v>0.63</v>
      </c>
      <c r="E50">
        <v>0.30599999999999999</v>
      </c>
      <c r="F50">
        <v>2.0579999999999998</v>
      </c>
      <c r="G50">
        <v>0.04</v>
      </c>
      <c r="H50">
        <f t="shared" si="5"/>
        <v>1.8776105792643432</v>
      </c>
      <c r="I50">
        <f t="shared" si="0"/>
        <v>3.0240000000000045E-2</v>
      </c>
      <c r="J50">
        <f t="shared" si="1"/>
        <v>1.0307018727211306</v>
      </c>
      <c r="K50">
        <f t="shared" si="2"/>
        <v>1.22976</v>
      </c>
      <c r="L50">
        <f t="shared" si="3"/>
        <v>3.4204085397244923</v>
      </c>
      <c r="N50" t="s">
        <v>254</v>
      </c>
    </row>
    <row r="51" spans="1:14" x14ac:dyDescent="0.3">
      <c r="A51" t="s">
        <v>233</v>
      </c>
      <c r="B51" t="str">
        <f t="shared" si="4"/>
        <v>Age: Young tertile (Ref: Medium)</v>
      </c>
      <c r="C51" t="s">
        <v>224</v>
      </c>
      <c r="D51">
        <v>0.46600000000000003</v>
      </c>
      <c r="E51">
        <v>0.35</v>
      </c>
      <c r="F51">
        <v>1.3320000000000001</v>
      </c>
      <c r="G51">
        <v>0.183</v>
      </c>
      <c r="H51">
        <f t="shared" si="5"/>
        <v>1.5936069993484847</v>
      </c>
      <c r="I51">
        <f t="shared" si="0"/>
        <v>-0.21999999999999992</v>
      </c>
      <c r="J51">
        <f t="shared" si="1"/>
        <v>0.8025187979624786</v>
      </c>
      <c r="K51">
        <f t="shared" si="2"/>
        <v>1.1519999999999999</v>
      </c>
      <c r="L51">
        <f t="shared" si="3"/>
        <v>3.1645156161079964</v>
      </c>
      <c r="N51" t="s">
        <v>244</v>
      </c>
    </row>
    <row r="52" spans="1:14" x14ac:dyDescent="0.3">
      <c r="A52" t="s">
        <v>233</v>
      </c>
      <c r="B52" t="str">
        <f t="shared" si="4"/>
        <v>Age: Old tertile</v>
      </c>
      <c r="C52" t="s">
        <v>224</v>
      </c>
      <c r="D52">
        <v>0.98199999999999998</v>
      </c>
      <c r="E52">
        <v>0.53700000000000003</v>
      </c>
      <c r="F52">
        <v>1.83</v>
      </c>
      <c r="G52">
        <v>6.7000000000000004E-2</v>
      </c>
      <c r="H52">
        <f t="shared" si="5"/>
        <v>2.669790486880145</v>
      </c>
      <c r="I52">
        <f t="shared" si="0"/>
        <v>-7.0520000000000138E-2</v>
      </c>
      <c r="J52">
        <f t="shared" si="1"/>
        <v>0.931909101157394</v>
      </c>
      <c r="K52">
        <f t="shared" si="2"/>
        <v>2.0345200000000001</v>
      </c>
      <c r="L52">
        <f t="shared" si="3"/>
        <v>7.6485799258568266</v>
      </c>
      <c r="N52" t="s">
        <v>251</v>
      </c>
    </row>
    <row r="53" spans="1:14" x14ac:dyDescent="0.3">
      <c r="A53" t="s">
        <v>233</v>
      </c>
      <c r="B53" t="str">
        <f t="shared" si="4"/>
        <v>Gender: Female (Ref: Not female</v>
      </c>
      <c r="C53" t="s">
        <v>224</v>
      </c>
      <c r="D53">
        <v>0.24299999999999999</v>
      </c>
      <c r="E53">
        <v>0.27200000000000002</v>
      </c>
      <c r="F53">
        <v>0.89200000000000002</v>
      </c>
      <c r="G53">
        <v>0.373</v>
      </c>
      <c r="H53">
        <f t="shared" si="5"/>
        <v>1.2750686241184597</v>
      </c>
      <c r="I53">
        <f t="shared" si="0"/>
        <v>-0.29012000000000004</v>
      </c>
      <c r="J53">
        <f t="shared" si="1"/>
        <v>0.74817378133773793</v>
      </c>
      <c r="K53">
        <f t="shared" si="2"/>
        <v>0.77612000000000003</v>
      </c>
      <c r="L53">
        <f t="shared" si="3"/>
        <v>2.1730245522696667</v>
      </c>
      <c r="N53" t="s">
        <v>114</v>
      </c>
    </row>
    <row r="54" spans="1:14" x14ac:dyDescent="0.3">
      <c r="A54" t="s">
        <v>233</v>
      </c>
      <c r="B54" t="str">
        <f t="shared" si="4"/>
        <v>Migration (Ref: No)</v>
      </c>
      <c r="C54" t="s">
        <v>224</v>
      </c>
      <c r="D54">
        <v>0.433</v>
      </c>
      <c r="E54">
        <v>0.318</v>
      </c>
      <c r="F54">
        <v>1.363</v>
      </c>
      <c r="G54">
        <v>0.17299999999999999</v>
      </c>
      <c r="H54">
        <f t="shared" si="5"/>
        <v>1.5418762207006325</v>
      </c>
      <c r="I54">
        <f t="shared" si="0"/>
        <v>-0.19027999999999995</v>
      </c>
      <c r="J54">
        <f t="shared" si="1"/>
        <v>0.82672761779963089</v>
      </c>
      <c r="K54">
        <f t="shared" si="2"/>
        <v>1.0562799999999999</v>
      </c>
      <c r="L54">
        <f t="shared" si="3"/>
        <v>2.875653635824535</v>
      </c>
      <c r="N54" t="s">
        <v>253</v>
      </c>
    </row>
    <row r="55" spans="1:14" x14ac:dyDescent="0.3">
      <c r="A55" t="s">
        <v>233</v>
      </c>
      <c r="B55" t="str">
        <f t="shared" si="4"/>
        <v>Education: Tertiary (Ref: Non-tert.)</v>
      </c>
      <c r="C55" t="s">
        <v>224</v>
      </c>
      <c r="D55">
        <v>0.313</v>
      </c>
      <c r="E55">
        <v>0.28799999999999998</v>
      </c>
      <c r="F55">
        <v>1.0860000000000001</v>
      </c>
      <c r="G55">
        <v>0.27700000000000002</v>
      </c>
      <c r="H55">
        <f t="shared" si="5"/>
        <v>1.3675215310276052</v>
      </c>
      <c r="I55">
        <f t="shared" si="0"/>
        <v>-0.25147999999999998</v>
      </c>
      <c r="J55">
        <f t="shared" si="1"/>
        <v>0.77764901043444745</v>
      </c>
      <c r="K55">
        <f t="shared" si="2"/>
        <v>0.87748000000000004</v>
      </c>
      <c r="L55">
        <f t="shared" si="3"/>
        <v>2.4048318878195607</v>
      </c>
      <c r="N55" t="s">
        <v>252</v>
      </c>
    </row>
    <row r="56" spans="1:14" x14ac:dyDescent="0.3">
      <c r="A56" t="s">
        <v>233</v>
      </c>
      <c r="B56" t="str">
        <f t="shared" si="4"/>
        <v>Education: Missing</v>
      </c>
      <c r="C56" t="s">
        <v>224</v>
      </c>
      <c r="D56">
        <v>-22.285</v>
      </c>
      <c r="E56">
        <v>0</v>
      </c>
      <c r="F56">
        <v>999</v>
      </c>
      <c r="G56">
        <v>0</v>
      </c>
      <c r="H56">
        <f t="shared" si="5"/>
        <v>2.0977197678065345E-10</v>
      </c>
      <c r="I56">
        <f t="shared" si="0"/>
        <v>-22.285</v>
      </c>
      <c r="J56">
        <f t="shared" si="1"/>
        <v>2.0977197678065345E-10</v>
      </c>
      <c r="K56">
        <f t="shared" si="2"/>
        <v>-22.285</v>
      </c>
      <c r="L56">
        <f t="shared" si="3"/>
        <v>2.0977197678065345E-10</v>
      </c>
      <c r="N56" t="s">
        <v>250</v>
      </c>
    </row>
    <row r="57" spans="1:14" x14ac:dyDescent="0.3">
      <c r="A57" t="s">
        <v>233</v>
      </c>
      <c r="B57" t="str">
        <f t="shared" si="4"/>
        <v>Employment: Part-time</v>
      </c>
      <c r="C57" t="s">
        <v>224</v>
      </c>
      <c r="D57">
        <v>-0.35299999999999998</v>
      </c>
      <c r="E57">
        <v>0.35599999999999998</v>
      </c>
      <c r="F57">
        <v>-0.99199999999999999</v>
      </c>
      <c r="G57">
        <v>0.32100000000000001</v>
      </c>
      <c r="H57">
        <f t="shared" si="5"/>
        <v>0.70257719337724156</v>
      </c>
      <c r="I57">
        <f t="shared" si="0"/>
        <v>-1.0507599999999999</v>
      </c>
      <c r="J57">
        <f t="shared" si="1"/>
        <v>0.34967189745825533</v>
      </c>
      <c r="K57">
        <f t="shared" si="2"/>
        <v>0.34475999999999996</v>
      </c>
      <c r="L57">
        <f t="shared" si="3"/>
        <v>1.4116510827489954</v>
      </c>
      <c r="N57" t="s">
        <v>248</v>
      </c>
    </row>
    <row r="58" spans="1:14" x14ac:dyDescent="0.3">
      <c r="A58" t="s">
        <v>233</v>
      </c>
      <c r="B58" t="str">
        <f t="shared" si="4"/>
        <v>Employment: None</v>
      </c>
      <c r="C58" t="s">
        <v>224</v>
      </c>
      <c r="D58">
        <v>5.6000000000000001E-2</v>
      </c>
      <c r="E58">
        <v>0.38</v>
      </c>
      <c r="F58">
        <v>0.14699999999999999</v>
      </c>
      <c r="G58">
        <v>0.88300000000000001</v>
      </c>
      <c r="H58">
        <f t="shared" si="5"/>
        <v>1.0575976837366112</v>
      </c>
      <c r="I58">
        <f t="shared" si="0"/>
        <v>-0.68879999999999997</v>
      </c>
      <c r="J58">
        <f t="shared" si="1"/>
        <v>0.50217832162820175</v>
      </c>
      <c r="K58">
        <f t="shared" si="2"/>
        <v>0.80080000000000007</v>
      </c>
      <c r="L58">
        <f t="shared" si="3"/>
        <v>2.2273220735983097</v>
      </c>
      <c r="N58" t="s">
        <v>249</v>
      </c>
    </row>
    <row r="59" spans="1:14" x14ac:dyDescent="0.3">
      <c r="A59" t="s">
        <v>233</v>
      </c>
      <c r="B59" t="str">
        <f t="shared" si="4"/>
        <v>Employment: Retired (Ref: Full)</v>
      </c>
      <c r="C59" t="s">
        <v>224</v>
      </c>
      <c r="D59">
        <v>-1.9390000000000001</v>
      </c>
      <c r="E59">
        <v>0.65800000000000003</v>
      </c>
      <c r="F59">
        <v>-2.9489999999999998</v>
      </c>
      <c r="G59">
        <v>3.0000000000000001E-3</v>
      </c>
      <c r="H59">
        <f t="shared" si="5"/>
        <v>0.14384772560341216</v>
      </c>
      <c r="I59">
        <f t="shared" si="0"/>
        <v>-3.2286799999999998</v>
      </c>
      <c r="J59">
        <f t="shared" si="1"/>
        <v>3.9609749164460868E-2</v>
      </c>
      <c r="K59">
        <f t="shared" si="2"/>
        <v>-0.64932000000000012</v>
      </c>
      <c r="L59">
        <f t="shared" si="3"/>
        <v>0.52240088861355971</v>
      </c>
      <c r="N59" t="s">
        <v>256</v>
      </c>
    </row>
    <row r="60" spans="1:14" x14ac:dyDescent="0.3">
      <c r="A60" t="s">
        <v>233</v>
      </c>
      <c r="B60" t="str">
        <f t="shared" si="4"/>
        <v>Employment: Missing</v>
      </c>
      <c r="C60" t="s">
        <v>224</v>
      </c>
      <c r="D60">
        <v>-0.76900000000000002</v>
      </c>
      <c r="E60">
        <v>2.528</v>
      </c>
      <c r="F60">
        <v>-0.30399999999999999</v>
      </c>
      <c r="G60">
        <v>0.76100000000000001</v>
      </c>
      <c r="H60">
        <f t="shared" si="5"/>
        <v>0.46347631296326158</v>
      </c>
      <c r="I60">
        <f t="shared" si="0"/>
        <v>-5.7238800000000003</v>
      </c>
      <c r="J60">
        <f t="shared" si="1"/>
        <v>3.2670102791847572E-3</v>
      </c>
      <c r="K60">
        <f t="shared" si="2"/>
        <v>4.18588</v>
      </c>
      <c r="L60">
        <f t="shared" si="3"/>
        <v>65.751336641530997</v>
      </c>
      <c r="N60" t="s">
        <v>247</v>
      </c>
    </row>
    <row r="61" spans="1:14" x14ac:dyDescent="0.3">
      <c r="A61" t="s">
        <v>233</v>
      </c>
      <c r="B61" t="str">
        <f t="shared" si="4"/>
        <v>Child in household</v>
      </c>
      <c r="C61" t="s">
        <v>224</v>
      </c>
      <c r="D61">
        <v>-0.11600000000000001</v>
      </c>
      <c r="E61">
        <v>0.33100000000000002</v>
      </c>
      <c r="F61">
        <v>-0.35199999999999998</v>
      </c>
      <c r="G61">
        <v>0.72499999999999998</v>
      </c>
      <c r="H61">
        <f t="shared" si="5"/>
        <v>0.89047522329747264</v>
      </c>
      <c r="I61">
        <f t="shared" si="0"/>
        <v>-0.76476</v>
      </c>
      <c r="J61">
        <f t="shared" si="1"/>
        <v>0.46544562452043664</v>
      </c>
      <c r="K61">
        <f t="shared" si="2"/>
        <v>0.53276000000000001</v>
      </c>
      <c r="L61">
        <f t="shared" si="3"/>
        <v>1.7036278386410468</v>
      </c>
      <c r="N61" t="s">
        <v>260</v>
      </c>
    </row>
    <row r="62" spans="1:14" x14ac:dyDescent="0.3">
      <c r="A62" t="s">
        <v>233</v>
      </c>
      <c r="B62" t="str">
        <f t="shared" si="4"/>
        <v>Child in household: Missing (Ref: No child)</v>
      </c>
      <c r="C62" t="s">
        <v>224</v>
      </c>
      <c r="D62">
        <v>-1.0740000000000001</v>
      </c>
      <c r="E62">
        <v>0.51800000000000002</v>
      </c>
      <c r="F62">
        <v>-2.0710000000000002</v>
      </c>
      <c r="G62">
        <v>3.7999999999999999E-2</v>
      </c>
      <c r="H62">
        <f t="shared" si="5"/>
        <v>0.34163922376206945</v>
      </c>
      <c r="I62">
        <f t="shared" si="0"/>
        <v>-2.08928</v>
      </c>
      <c r="J62">
        <f t="shared" si="1"/>
        <v>0.1237762226226447</v>
      </c>
      <c r="K62">
        <f t="shared" si="2"/>
        <v>-5.8720000000000105E-2</v>
      </c>
      <c r="L62">
        <f t="shared" si="3"/>
        <v>0.94297076401001834</v>
      </c>
      <c r="N62" t="s">
        <v>261</v>
      </c>
    </row>
    <row r="63" spans="1:14" x14ac:dyDescent="0.3">
      <c r="A63" t="s">
        <v>233</v>
      </c>
      <c r="B63" t="str">
        <f t="shared" si="4"/>
        <v>Income: Low tertile</v>
      </c>
      <c r="C63" t="s">
        <v>224</v>
      </c>
      <c r="D63">
        <v>14.917</v>
      </c>
      <c r="E63">
        <v>0.55100000000000005</v>
      </c>
      <c r="F63">
        <v>27.091999999999999</v>
      </c>
      <c r="G63">
        <v>0</v>
      </c>
      <c r="H63">
        <f t="shared" si="5"/>
        <v>3008643.889037224</v>
      </c>
      <c r="I63">
        <f t="shared" si="0"/>
        <v>13.83704</v>
      </c>
      <c r="J63">
        <f t="shared" si="1"/>
        <v>1021762.8726735378</v>
      </c>
      <c r="K63">
        <f t="shared" si="2"/>
        <v>15.99696</v>
      </c>
      <c r="L63">
        <f t="shared" si="3"/>
        <v>8859137.7638882026</v>
      </c>
      <c r="N63" t="s">
        <v>246</v>
      </c>
    </row>
    <row r="64" spans="1:14" x14ac:dyDescent="0.3">
      <c r="A64" t="s">
        <v>233</v>
      </c>
      <c r="B64" t="str">
        <f t="shared" si="4"/>
        <v>Income: High tertile</v>
      </c>
      <c r="C64" t="s">
        <v>224</v>
      </c>
      <c r="D64">
        <v>-47.808999999999997</v>
      </c>
      <c r="E64">
        <v>0</v>
      </c>
      <c r="F64">
        <v>999</v>
      </c>
      <c r="G64">
        <v>0</v>
      </c>
      <c r="H64">
        <f t="shared" si="5"/>
        <v>1.7251033347205443E-21</v>
      </c>
      <c r="I64">
        <f t="shared" si="0"/>
        <v>-47.808999999999997</v>
      </c>
      <c r="J64">
        <f t="shared" si="1"/>
        <v>1.7251033347205443E-21</v>
      </c>
      <c r="K64">
        <f t="shared" si="2"/>
        <v>-47.808999999999997</v>
      </c>
      <c r="L64">
        <f t="shared" si="3"/>
        <v>1.7251033347205443E-21</v>
      </c>
      <c r="N64" t="s">
        <v>245</v>
      </c>
    </row>
    <row r="65" spans="1:14" x14ac:dyDescent="0.3">
      <c r="A65" t="s">
        <v>233</v>
      </c>
      <c r="B65" t="str">
        <f t="shared" si="4"/>
        <v>Income: Missing (Ref: Medium)</v>
      </c>
      <c r="C65" t="s">
        <v>224</v>
      </c>
      <c r="D65">
        <v>17.545999999999999</v>
      </c>
      <c r="E65">
        <v>0</v>
      </c>
      <c r="F65">
        <v>999</v>
      </c>
      <c r="G65">
        <v>0</v>
      </c>
      <c r="H65">
        <f t="shared" si="5"/>
        <v>41699512.664579123</v>
      </c>
      <c r="I65">
        <f t="shared" si="0"/>
        <v>17.545999999999999</v>
      </c>
      <c r="J65">
        <f t="shared" si="1"/>
        <v>41699512.664579123</v>
      </c>
      <c r="K65">
        <f t="shared" si="2"/>
        <v>17.545999999999999</v>
      </c>
      <c r="L65">
        <f t="shared" si="3"/>
        <v>41699512.664579123</v>
      </c>
      <c r="N65" t="s">
        <v>258</v>
      </c>
    </row>
    <row r="66" spans="1:14" x14ac:dyDescent="0.3">
      <c r="A66" t="s">
        <v>233</v>
      </c>
      <c r="B66" t="str">
        <f t="shared" si="4"/>
        <v>Household member (Ref: Anchor)</v>
      </c>
      <c r="C66" t="s">
        <v>225</v>
      </c>
      <c r="D66">
        <v>0.624</v>
      </c>
      <c r="E66">
        <v>0.30499999999999999</v>
      </c>
      <c r="F66">
        <v>2.044</v>
      </c>
      <c r="G66">
        <v>4.1000000000000002E-2</v>
      </c>
      <c r="H66">
        <f t="shared" si="5"/>
        <v>1.8663786452864723</v>
      </c>
      <c r="I66">
        <f t="shared" ref="I66:I129" si="6">$D66-1.96*$E66</f>
        <v>2.6200000000000001E-2</v>
      </c>
      <c r="J66">
        <f t="shared" ref="J66:J129" si="7">EXP($I66)</f>
        <v>1.0265462371913243</v>
      </c>
      <c r="K66">
        <f t="shared" ref="K66:K129" si="8">$D66+1.96*$E66</f>
        <v>1.2218</v>
      </c>
      <c r="L66">
        <f t="shared" ref="L66:L129" si="9">EXP($K66)</f>
        <v>3.3932901620798099</v>
      </c>
      <c r="N66" t="s">
        <v>254</v>
      </c>
    </row>
    <row r="67" spans="1:14" x14ac:dyDescent="0.3">
      <c r="A67" t="s">
        <v>233</v>
      </c>
      <c r="B67" t="str">
        <f t="shared" ref="B67:B130" si="10">N67</f>
        <v>Age: Young tertile (Ref: Medium)</v>
      </c>
      <c r="C67" t="s">
        <v>225</v>
      </c>
      <c r="D67">
        <v>-0.05</v>
      </c>
      <c r="E67">
        <v>0.35299999999999998</v>
      </c>
      <c r="F67">
        <v>-0.14299999999999999</v>
      </c>
      <c r="G67">
        <v>0.88600000000000001</v>
      </c>
      <c r="H67">
        <f t="shared" si="5"/>
        <v>0.95122942450071402</v>
      </c>
      <c r="I67">
        <f t="shared" si="6"/>
        <v>-0.74187999999999998</v>
      </c>
      <c r="J67">
        <f t="shared" si="7"/>
        <v>0.47621778398743703</v>
      </c>
      <c r="K67">
        <f t="shared" si="8"/>
        <v>0.6418799999999999</v>
      </c>
      <c r="L67">
        <f t="shared" si="9"/>
        <v>1.9000496169202907</v>
      </c>
      <c r="N67" t="s">
        <v>244</v>
      </c>
    </row>
    <row r="68" spans="1:14" x14ac:dyDescent="0.3">
      <c r="A68" t="s">
        <v>233</v>
      </c>
      <c r="B68" t="str">
        <f t="shared" si="10"/>
        <v>Age: Old tertile</v>
      </c>
      <c r="C68" t="s">
        <v>225</v>
      </c>
      <c r="D68">
        <v>1.06</v>
      </c>
      <c r="E68">
        <v>0.53600000000000003</v>
      </c>
      <c r="F68">
        <v>1.98</v>
      </c>
      <c r="G68">
        <v>4.8000000000000001E-2</v>
      </c>
      <c r="H68">
        <f t="shared" si="5"/>
        <v>2.8863709892679585</v>
      </c>
      <c r="I68">
        <f t="shared" si="6"/>
        <v>9.440000000000115E-3</v>
      </c>
      <c r="J68">
        <f t="shared" si="7"/>
        <v>1.0094846973369078</v>
      </c>
      <c r="K68">
        <f t="shared" si="8"/>
        <v>2.11056</v>
      </c>
      <c r="L68">
        <f t="shared" si="9"/>
        <v>8.2528615933117404</v>
      </c>
      <c r="N68" t="s">
        <v>251</v>
      </c>
    </row>
    <row r="69" spans="1:14" x14ac:dyDescent="0.3">
      <c r="A69" t="s">
        <v>233</v>
      </c>
      <c r="B69" t="str">
        <f t="shared" si="10"/>
        <v>Gender: Female (Ref: Not female</v>
      </c>
      <c r="C69" t="s">
        <v>225</v>
      </c>
      <c r="D69">
        <v>0.04</v>
      </c>
      <c r="E69">
        <v>0.27300000000000002</v>
      </c>
      <c r="F69">
        <v>0.14699999999999999</v>
      </c>
      <c r="G69">
        <v>0.88300000000000001</v>
      </c>
      <c r="H69">
        <f t="shared" si="5"/>
        <v>1.0408107741923882</v>
      </c>
      <c r="I69">
        <f t="shared" si="6"/>
        <v>-0.49508000000000002</v>
      </c>
      <c r="J69">
        <f t="shared" si="7"/>
        <v>0.60952214357430046</v>
      </c>
      <c r="K69">
        <f t="shared" si="8"/>
        <v>0.57508000000000004</v>
      </c>
      <c r="L69">
        <f t="shared" si="9"/>
        <v>1.777272703043161</v>
      </c>
      <c r="N69" t="s">
        <v>114</v>
      </c>
    </row>
    <row r="70" spans="1:14" x14ac:dyDescent="0.3">
      <c r="A70" t="s">
        <v>233</v>
      </c>
      <c r="B70" t="str">
        <f t="shared" si="10"/>
        <v>Migration (Ref: No)</v>
      </c>
      <c r="C70" t="s">
        <v>225</v>
      </c>
      <c r="D70">
        <v>0.53600000000000003</v>
      </c>
      <c r="E70">
        <v>0.314</v>
      </c>
      <c r="F70">
        <v>1.704</v>
      </c>
      <c r="G70">
        <v>8.7999999999999995E-2</v>
      </c>
      <c r="H70">
        <f t="shared" si="5"/>
        <v>1.7091565445052328</v>
      </c>
      <c r="I70">
        <f t="shared" si="6"/>
        <v>-7.9439999999999955E-2</v>
      </c>
      <c r="J70">
        <f t="shared" si="7"/>
        <v>0.92363343631227823</v>
      </c>
      <c r="K70">
        <f t="shared" si="8"/>
        <v>1.15144</v>
      </c>
      <c r="L70">
        <f t="shared" si="9"/>
        <v>3.1627439834664148</v>
      </c>
      <c r="N70" t="s">
        <v>253</v>
      </c>
    </row>
    <row r="71" spans="1:14" x14ac:dyDescent="0.3">
      <c r="A71" t="s">
        <v>233</v>
      </c>
      <c r="B71" t="str">
        <f t="shared" si="10"/>
        <v>Education: Tertiary (Ref: Non-tert.)</v>
      </c>
      <c r="C71" t="s">
        <v>225</v>
      </c>
      <c r="D71">
        <v>0.28599999999999998</v>
      </c>
      <c r="E71">
        <v>0.28999999999999998</v>
      </c>
      <c r="F71">
        <v>0.98599999999999999</v>
      </c>
      <c r="G71">
        <v>0.32400000000000001</v>
      </c>
      <c r="H71">
        <f t="shared" ref="H71:H134" si="11">(EXP($D71))*1</f>
        <v>1.3310924552522916</v>
      </c>
      <c r="I71">
        <f t="shared" si="6"/>
        <v>-0.28239999999999993</v>
      </c>
      <c r="J71">
        <f t="shared" si="7"/>
        <v>0.75397203539312574</v>
      </c>
      <c r="K71">
        <f t="shared" si="8"/>
        <v>0.85439999999999983</v>
      </c>
      <c r="L71">
        <f t="shared" si="9"/>
        <v>2.3499639791093085</v>
      </c>
      <c r="N71" t="s">
        <v>252</v>
      </c>
    </row>
    <row r="72" spans="1:14" x14ac:dyDescent="0.3">
      <c r="A72" t="s">
        <v>233</v>
      </c>
      <c r="B72" t="str">
        <f t="shared" si="10"/>
        <v>Education: Missing</v>
      </c>
      <c r="C72" t="s">
        <v>225</v>
      </c>
      <c r="D72">
        <v>-22.312000000000001</v>
      </c>
      <c r="E72">
        <v>0.52500000000000002</v>
      </c>
      <c r="F72">
        <v>-42.536000000000001</v>
      </c>
      <c r="G72">
        <v>0</v>
      </c>
      <c r="H72">
        <f t="shared" si="11"/>
        <v>2.0418391175623098E-10</v>
      </c>
      <c r="I72">
        <f t="shared" si="6"/>
        <v>-23.341000000000001</v>
      </c>
      <c r="J72">
        <f t="shared" si="7"/>
        <v>7.2968009270635326E-11</v>
      </c>
      <c r="K72">
        <f t="shared" si="8"/>
        <v>-21.283000000000001</v>
      </c>
      <c r="L72">
        <f t="shared" si="9"/>
        <v>5.7136093250736599E-10</v>
      </c>
      <c r="N72" t="s">
        <v>250</v>
      </c>
    </row>
    <row r="73" spans="1:14" x14ac:dyDescent="0.3">
      <c r="A73" t="s">
        <v>233</v>
      </c>
      <c r="B73" t="str">
        <f t="shared" si="10"/>
        <v>Employment: Part-time</v>
      </c>
      <c r="C73" t="s">
        <v>225</v>
      </c>
      <c r="D73">
        <v>-0.33700000000000002</v>
      </c>
      <c r="E73">
        <v>0.35799999999999998</v>
      </c>
      <c r="F73">
        <v>-0.93899999999999995</v>
      </c>
      <c r="G73">
        <v>0.34799999999999998</v>
      </c>
      <c r="H73">
        <f t="shared" si="11"/>
        <v>0.71390883990272003</v>
      </c>
      <c r="I73">
        <f t="shared" si="6"/>
        <v>-1.03868</v>
      </c>
      <c r="J73">
        <f t="shared" si="7"/>
        <v>0.35392155020421845</v>
      </c>
      <c r="K73">
        <f t="shared" si="8"/>
        <v>0.36467999999999995</v>
      </c>
      <c r="L73">
        <f t="shared" si="9"/>
        <v>1.44005311741306</v>
      </c>
      <c r="N73" t="s">
        <v>248</v>
      </c>
    </row>
    <row r="74" spans="1:14" x14ac:dyDescent="0.3">
      <c r="A74" t="s">
        <v>233</v>
      </c>
      <c r="B74" t="str">
        <f t="shared" si="10"/>
        <v>Employment: None</v>
      </c>
      <c r="C74" t="s">
        <v>225</v>
      </c>
      <c r="D74">
        <v>5.8000000000000003E-2</v>
      </c>
      <c r="E74">
        <v>0.38300000000000001</v>
      </c>
      <c r="F74">
        <v>0.151</v>
      </c>
      <c r="G74">
        <v>0.88</v>
      </c>
      <c r="H74">
        <f t="shared" si="11"/>
        <v>1.0597149957102876</v>
      </c>
      <c r="I74">
        <f t="shared" si="6"/>
        <v>-0.69267999999999996</v>
      </c>
      <c r="J74">
        <f t="shared" si="7"/>
        <v>0.50023364485288968</v>
      </c>
      <c r="K74">
        <f t="shared" si="8"/>
        <v>0.80868000000000007</v>
      </c>
      <c r="L74">
        <f t="shared" si="9"/>
        <v>2.2449427056500948</v>
      </c>
      <c r="N74" t="s">
        <v>249</v>
      </c>
    </row>
    <row r="75" spans="1:14" x14ac:dyDescent="0.3">
      <c r="A75" t="s">
        <v>233</v>
      </c>
      <c r="B75" t="str">
        <f t="shared" si="10"/>
        <v>Employment: Retired (Ref: Full)</v>
      </c>
      <c r="C75" t="s">
        <v>225</v>
      </c>
      <c r="D75">
        <v>-1.349</v>
      </c>
      <c r="E75">
        <v>0.65900000000000003</v>
      </c>
      <c r="F75">
        <v>-2.0470000000000002</v>
      </c>
      <c r="G75">
        <v>4.1000000000000002E-2</v>
      </c>
      <c r="H75">
        <f t="shared" si="11"/>
        <v>0.25949963056988523</v>
      </c>
      <c r="I75">
        <f t="shared" si="6"/>
        <v>-2.6406400000000003</v>
      </c>
      <c r="J75">
        <f t="shared" si="7"/>
        <v>7.1315612955540633E-2</v>
      </c>
      <c r="K75">
        <f t="shared" si="8"/>
        <v>-5.7359999999999856E-2</v>
      </c>
      <c r="L75">
        <f t="shared" si="9"/>
        <v>0.94425407670390271</v>
      </c>
      <c r="N75" t="s">
        <v>256</v>
      </c>
    </row>
    <row r="76" spans="1:14" x14ac:dyDescent="0.3">
      <c r="A76" t="s">
        <v>233</v>
      </c>
      <c r="B76" t="str">
        <f t="shared" si="10"/>
        <v>Employment: Missing</v>
      </c>
      <c r="C76" t="s">
        <v>225</v>
      </c>
      <c r="D76">
        <v>-1.2669999999999999</v>
      </c>
      <c r="E76">
        <v>2.5179999999999998</v>
      </c>
      <c r="F76">
        <v>-0.503</v>
      </c>
      <c r="G76">
        <v>0.61499999999999999</v>
      </c>
      <c r="H76">
        <f t="shared" si="11"/>
        <v>0.2816753816507036</v>
      </c>
      <c r="I76">
        <f t="shared" si="6"/>
        <v>-6.20228</v>
      </c>
      <c r="J76">
        <f t="shared" si="7"/>
        <v>2.0248088053344531E-3</v>
      </c>
      <c r="K76">
        <f t="shared" si="8"/>
        <v>3.6682799999999998</v>
      </c>
      <c r="L76">
        <f t="shared" si="9"/>
        <v>39.18445061036968</v>
      </c>
      <c r="N76" t="s">
        <v>247</v>
      </c>
    </row>
    <row r="77" spans="1:14" x14ac:dyDescent="0.3">
      <c r="A77" t="s">
        <v>233</v>
      </c>
      <c r="B77" t="str">
        <f t="shared" si="10"/>
        <v>Child in household</v>
      </c>
      <c r="C77" t="s">
        <v>225</v>
      </c>
      <c r="D77">
        <v>-7.9000000000000001E-2</v>
      </c>
      <c r="E77">
        <v>0.33200000000000002</v>
      </c>
      <c r="F77">
        <v>-0.23699999999999999</v>
      </c>
      <c r="G77">
        <v>0.81200000000000006</v>
      </c>
      <c r="H77">
        <f t="shared" si="11"/>
        <v>0.92403992444508676</v>
      </c>
      <c r="I77">
        <f t="shared" si="6"/>
        <v>-0.72972000000000004</v>
      </c>
      <c r="J77">
        <f t="shared" si="7"/>
        <v>0.48204394350002333</v>
      </c>
      <c r="K77">
        <f t="shared" si="8"/>
        <v>0.57172000000000012</v>
      </c>
      <c r="L77">
        <f t="shared" si="9"/>
        <v>1.7713110878830913</v>
      </c>
      <c r="N77" t="s">
        <v>260</v>
      </c>
    </row>
    <row r="78" spans="1:14" x14ac:dyDescent="0.3">
      <c r="A78" t="s">
        <v>233</v>
      </c>
      <c r="B78" t="str">
        <f t="shared" si="10"/>
        <v>Child in household: Missing (Ref: No child)</v>
      </c>
      <c r="C78" t="s">
        <v>225</v>
      </c>
      <c r="D78">
        <v>-1.056</v>
      </c>
      <c r="E78">
        <v>0.53300000000000003</v>
      </c>
      <c r="F78">
        <v>-1.9830000000000001</v>
      </c>
      <c r="G78">
        <v>4.7E-2</v>
      </c>
      <c r="H78">
        <f t="shared" si="11"/>
        <v>0.3478444089170874</v>
      </c>
      <c r="I78">
        <f t="shared" si="6"/>
        <v>-2.1006800000000001</v>
      </c>
      <c r="J78">
        <f t="shared" si="7"/>
        <v>0.1223731861872798</v>
      </c>
      <c r="K78">
        <f t="shared" si="8"/>
        <v>-1.1319999999999997E-2</v>
      </c>
      <c r="L78">
        <f t="shared" si="9"/>
        <v>0.98874383012064571</v>
      </c>
      <c r="N78" t="s">
        <v>261</v>
      </c>
    </row>
    <row r="79" spans="1:14" x14ac:dyDescent="0.3">
      <c r="A79" t="s">
        <v>233</v>
      </c>
      <c r="B79" t="str">
        <f t="shared" si="10"/>
        <v>Income: Low tertile</v>
      </c>
      <c r="C79" t="s">
        <v>225</v>
      </c>
      <c r="D79">
        <v>14.875999999999999</v>
      </c>
      <c r="E79">
        <v>0.56100000000000005</v>
      </c>
      <c r="F79">
        <v>26.507000000000001</v>
      </c>
      <c r="G79">
        <v>0</v>
      </c>
      <c r="H79">
        <f t="shared" si="11"/>
        <v>2887784.0463373601</v>
      </c>
      <c r="I79">
        <f t="shared" si="6"/>
        <v>13.776439999999999</v>
      </c>
      <c r="J79">
        <f t="shared" si="7"/>
        <v>961682.85236813559</v>
      </c>
      <c r="K79">
        <f t="shared" si="8"/>
        <v>15.97556</v>
      </c>
      <c r="L79">
        <f t="shared" si="9"/>
        <v>8671566.3877598848</v>
      </c>
      <c r="N79" t="s">
        <v>246</v>
      </c>
    </row>
    <row r="80" spans="1:14" x14ac:dyDescent="0.3">
      <c r="A80" t="s">
        <v>233</v>
      </c>
      <c r="B80" t="str">
        <f t="shared" si="10"/>
        <v>Income: High tertile</v>
      </c>
      <c r="C80" t="s">
        <v>225</v>
      </c>
      <c r="D80">
        <v>-47.787999999999997</v>
      </c>
      <c r="E80">
        <v>0.10100000000000001</v>
      </c>
      <c r="F80">
        <v>-473.72500000000002</v>
      </c>
      <c r="G80">
        <v>0</v>
      </c>
      <c r="H80">
        <f t="shared" si="11"/>
        <v>1.7617135667700582E-21</v>
      </c>
      <c r="I80">
        <f t="shared" si="6"/>
        <v>-47.985959999999999</v>
      </c>
      <c r="J80">
        <f t="shared" si="7"/>
        <v>1.4453145114662968E-21</v>
      </c>
      <c r="K80">
        <f t="shared" si="8"/>
        <v>-47.590039999999995</v>
      </c>
      <c r="L80">
        <f t="shared" si="9"/>
        <v>2.1473766897925825E-21</v>
      </c>
      <c r="N80" t="s">
        <v>245</v>
      </c>
    </row>
    <row r="81" spans="1:14" x14ac:dyDescent="0.3">
      <c r="A81" t="s">
        <v>233</v>
      </c>
      <c r="B81" t="str">
        <f t="shared" si="10"/>
        <v>Income: Missing (Ref: Medium)</v>
      </c>
      <c r="C81" t="s">
        <v>225</v>
      </c>
      <c r="D81">
        <v>17.905999999999999</v>
      </c>
      <c r="E81">
        <v>0.15</v>
      </c>
      <c r="F81">
        <v>119.752</v>
      </c>
      <c r="G81">
        <v>0</v>
      </c>
      <c r="H81">
        <f t="shared" si="11"/>
        <v>59769138.074972652</v>
      </c>
      <c r="I81">
        <f t="shared" si="6"/>
        <v>17.611999999999998</v>
      </c>
      <c r="J81">
        <f t="shared" si="7"/>
        <v>44544533.521105073</v>
      </c>
      <c r="K81">
        <f t="shared" si="8"/>
        <v>18.2</v>
      </c>
      <c r="L81">
        <f t="shared" si="9"/>
        <v>80197267.405047059</v>
      </c>
      <c r="N81" t="s">
        <v>258</v>
      </c>
    </row>
    <row r="82" spans="1:14" x14ac:dyDescent="0.3">
      <c r="A82" t="s">
        <v>233</v>
      </c>
      <c r="B82" t="str">
        <f t="shared" si="10"/>
        <v>Household member (Ref: Anchor)</v>
      </c>
      <c r="C82" t="s">
        <v>223</v>
      </c>
      <c r="D82">
        <v>-6.0000000000000001E-3</v>
      </c>
      <c r="E82">
        <v>8.3000000000000004E-2</v>
      </c>
      <c r="F82">
        <v>-7.3999999999999996E-2</v>
      </c>
      <c r="G82">
        <v>0.94099999999999995</v>
      </c>
      <c r="H82">
        <f t="shared" si="11"/>
        <v>0.99401796405393528</v>
      </c>
      <c r="I82">
        <f t="shared" si="6"/>
        <v>-0.16868000000000002</v>
      </c>
      <c r="J82">
        <f t="shared" si="7"/>
        <v>0.84477918947858621</v>
      </c>
      <c r="K82">
        <f t="shared" si="8"/>
        <v>0.15668000000000001</v>
      </c>
      <c r="L82">
        <f t="shared" si="9"/>
        <v>1.1696212752018516</v>
      </c>
      <c r="N82" t="s">
        <v>254</v>
      </c>
    </row>
    <row r="83" spans="1:14" x14ac:dyDescent="0.3">
      <c r="A83" t="s">
        <v>233</v>
      </c>
      <c r="B83" t="str">
        <f t="shared" si="10"/>
        <v>Age: Young tertile (Ref: Medium)</v>
      </c>
      <c r="C83" t="s">
        <v>223</v>
      </c>
      <c r="D83">
        <v>-0.51700000000000002</v>
      </c>
      <c r="E83">
        <v>9.2999999999999999E-2</v>
      </c>
      <c r="F83">
        <v>-5.5629999999999997</v>
      </c>
      <c r="G83">
        <v>0</v>
      </c>
      <c r="H83">
        <f t="shared" si="11"/>
        <v>0.59630678763392098</v>
      </c>
      <c r="I83">
        <f t="shared" si="6"/>
        <v>-0.69928000000000001</v>
      </c>
      <c r="J83">
        <f t="shared" si="7"/>
        <v>0.49694297395594722</v>
      </c>
      <c r="K83">
        <f t="shared" si="8"/>
        <v>-0.33472000000000002</v>
      </c>
      <c r="L83">
        <f t="shared" si="9"/>
        <v>0.71553840906060895</v>
      </c>
      <c r="N83" t="s">
        <v>244</v>
      </c>
    </row>
    <row r="84" spans="1:14" x14ac:dyDescent="0.3">
      <c r="A84" t="s">
        <v>233</v>
      </c>
      <c r="B84" t="str">
        <f t="shared" si="10"/>
        <v>Age: Old tertile</v>
      </c>
      <c r="C84" t="s">
        <v>223</v>
      </c>
      <c r="D84">
        <v>7.8E-2</v>
      </c>
      <c r="E84">
        <v>0.14899999999999999</v>
      </c>
      <c r="F84">
        <v>0.52600000000000002</v>
      </c>
      <c r="G84">
        <v>0.59899999999999998</v>
      </c>
      <c r="H84">
        <f t="shared" si="11"/>
        <v>1.0811226586700831</v>
      </c>
      <c r="I84">
        <f t="shared" si="6"/>
        <v>-0.21403999999999995</v>
      </c>
      <c r="J84">
        <f t="shared" si="7"/>
        <v>0.80731609173315066</v>
      </c>
      <c r="K84">
        <f t="shared" si="8"/>
        <v>0.37003999999999998</v>
      </c>
      <c r="L84">
        <f t="shared" si="9"/>
        <v>1.4477925252061141</v>
      </c>
      <c r="N84" t="s">
        <v>251</v>
      </c>
    </row>
    <row r="85" spans="1:14" x14ac:dyDescent="0.3">
      <c r="A85" t="s">
        <v>233</v>
      </c>
      <c r="B85" t="str">
        <f t="shared" si="10"/>
        <v>Gender: Female (Ref: Not female</v>
      </c>
      <c r="C85" t="s">
        <v>223</v>
      </c>
      <c r="D85">
        <v>-0.20300000000000001</v>
      </c>
      <c r="E85">
        <v>8.1000000000000003E-2</v>
      </c>
      <c r="F85">
        <v>-2.4980000000000002</v>
      </c>
      <c r="G85">
        <v>1.2E-2</v>
      </c>
      <c r="H85">
        <f t="shared" si="11"/>
        <v>0.8162782414256099</v>
      </c>
      <c r="I85">
        <f t="shared" si="6"/>
        <v>-0.36176000000000003</v>
      </c>
      <c r="J85">
        <f t="shared" si="7"/>
        <v>0.69644949566458947</v>
      </c>
      <c r="K85">
        <f t="shared" si="8"/>
        <v>-4.4240000000000002E-2</v>
      </c>
      <c r="L85">
        <f t="shared" si="9"/>
        <v>0.95672431608132247</v>
      </c>
      <c r="N85" t="s">
        <v>114</v>
      </c>
    </row>
    <row r="86" spans="1:14" x14ac:dyDescent="0.3">
      <c r="A86" t="s">
        <v>233</v>
      </c>
      <c r="B86" t="str">
        <f t="shared" si="10"/>
        <v>Migration (Ref: No)</v>
      </c>
      <c r="C86" t="s">
        <v>223</v>
      </c>
      <c r="D86">
        <v>0.10299999999999999</v>
      </c>
      <c r="E86">
        <v>0.106</v>
      </c>
      <c r="F86">
        <v>0.96499999999999997</v>
      </c>
      <c r="G86">
        <v>0.33400000000000002</v>
      </c>
      <c r="H86">
        <f t="shared" si="11"/>
        <v>1.1084914090760072</v>
      </c>
      <c r="I86">
        <f t="shared" si="6"/>
        <v>-0.10476000000000001</v>
      </c>
      <c r="J86">
        <f t="shared" si="7"/>
        <v>0.90054062640310706</v>
      </c>
      <c r="K86">
        <f t="shared" si="8"/>
        <v>0.31075999999999998</v>
      </c>
      <c r="L86">
        <f t="shared" si="9"/>
        <v>1.3644617110758619</v>
      </c>
      <c r="N86" t="s">
        <v>253</v>
      </c>
    </row>
    <row r="87" spans="1:14" x14ac:dyDescent="0.3">
      <c r="A87" t="s">
        <v>233</v>
      </c>
      <c r="B87" t="str">
        <f t="shared" si="10"/>
        <v>Education: Tertiary (Ref: Non-tert.)</v>
      </c>
      <c r="C87" t="s">
        <v>223</v>
      </c>
      <c r="D87">
        <v>-2.7E-2</v>
      </c>
      <c r="E87">
        <v>8.2000000000000003E-2</v>
      </c>
      <c r="F87">
        <v>-0.32600000000000001</v>
      </c>
      <c r="G87">
        <v>0.74399999999999999</v>
      </c>
      <c r="H87">
        <f t="shared" si="11"/>
        <v>0.97336124152433678</v>
      </c>
      <c r="I87">
        <f t="shared" si="6"/>
        <v>-0.18772</v>
      </c>
      <c r="J87">
        <f t="shared" si="7"/>
        <v>0.8288467518354341</v>
      </c>
      <c r="K87">
        <f t="shared" si="8"/>
        <v>0.13372000000000001</v>
      </c>
      <c r="L87">
        <f t="shared" si="9"/>
        <v>1.1430727144719619</v>
      </c>
      <c r="N87" t="s">
        <v>252</v>
      </c>
    </row>
    <row r="88" spans="1:14" x14ac:dyDescent="0.3">
      <c r="A88" t="s">
        <v>233</v>
      </c>
      <c r="B88" t="str">
        <f t="shared" si="10"/>
        <v>Education: Missing</v>
      </c>
      <c r="C88" t="s">
        <v>223</v>
      </c>
      <c r="D88">
        <v>-2.7E-2</v>
      </c>
      <c r="E88">
        <v>0.52500000000000002</v>
      </c>
      <c r="F88">
        <v>-5.1999999999999998E-2</v>
      </c>
      <c r="G88">
        <v>0.95799999999999996</v>
      </c>
      <c r="H88">
        <f t="shared" si="11"/>
        <v>0.97336124152433678</v>
      </c>
      <c r="I88">
        <f t="shared" si="6"/>
        <v>-1.0559999999999998</v>
      </c>
      <c r="J88">
        <f t="shared" si="7"/>
        <v>0.34784440891708751</v>
      </c>
      <c r="K88">
        <f t="shared" si="8"/>
        <v>1.002</v>
      </c>
      <c r="L88">
        <f t="shared" si="9"/>
        <v>2.7237238323058088</v>
      </c>
      <c r="N88" t="s">
        <v>250</v>
      </c>
    </row>
    <row r="89" spans="1:14" x14ac:dyDescent="0.3">
      <c r="A89" t="s">
        <v>233</v>
      </c>
      <c r="B89" t="str">
        <f t="shared" si="10"/>
        <v>Employment: Part-time</v>
      </c>
      <c r="C89" t="s">
        <v>223</v>
      </c>
      <c r="D89">
        <v>1.7000000000000001E-2</v>
      </c>
      <c r="E89">
        <v>0.113</v>
      </c>
      <c r="F89">
        <v>0.14899999999999999</v>
      </c>
      <c r="G89">
        <v>0.88100000000000001</v>
      </c>
      <c r="H89">
        <f t="shared" si="11"/>
        <v>1.0171453223252407</v>
      </c>
      <c r="I89">
        <f t="shared" si="6"/>
        <v>-0.20448</v>
      </c>
      <c r="J89">
        <f t="shared" si="7"/>
        <v>0.81507104317535917</v>
      </c>
      <c r="K89">
        <f t="shared" si="8"/>
        <v>0.23848000000000003</v>
      </c>
      <c r="L89">
        <f t="shared" si="9"/>
        <v>1.2693183194161535</v>
      </c>
      <c r="N89" t="s">
        <v>248</v>
      </c>
    </row>
    <row r="90" spans="1:14" x14ac:dyDescent="0.3">
      <c r="A90" t="s">
        <v>233</v>
      </c>
      <c r="B90" t="str">
        <f t="shared" si="10"/>
        <v>Employment: None</v>
      </c>
      <c r="C90" t="s">
        <v>223</v>
      </c>
      <c r="D90">
        <v>2E-3</v>
      </c>
      <c r="E90">
        <v>0.125</v>
      </c>
      <c r="F90">
        <v>1.7000000000000001E-2</v>
      </c>
      <c r="G90">
        <v>0.98699999999999999</v>
      </c>
      <c r="H90">
        <f t="shared" si="11"/>
        <v>1.0020020013340003</v>
      </c>
      <c r="I90">
        <f t="shared" si="6"/>
        <v>-0.24299999999999999</v>
      </c>
      <c r="J90">
        <f t="shared" si="7"/>
        <v>0.78427151377155646</v>
      </c>
      <c r="K90">
        <f t="shared" si="8"/>
        <v>0.247</v>
      </c>
      <c r="L90">
        <f t="shared" si="9"/>
        <v>1.28017911277827</v>
      </c>
      <c r="N90" t="s">
        <v>249</v>
      </c>
    </row>
    <row r="91" spans="1:14" x14ac:dyDescent="0.3">
      <c r="A91" t="s">
        <v>233</v>
      </c>
      <c r="B91" t="str">
        <f t="shared" si="10"/>
        <v>Employment: Retired (Ref: Full)</v>
      </c>
      <c r="C91" t="s">
        <v>223</v>
      </c>
      <c r="D91">
        <v>0.59</v>
      </c>
      <c r="E91">
        <v>0.161</v>
      </c>
      <c r="F91">
        <v>3.657</v>
      </c>
      <c r="G91">
        <v>0</v>
      </c>
      <c r="H91">
        <f t="shared" si="11"/>
        <v>1.8039884153978569</v>
      </c>
      <c r="I91">
        <f t="shared" si="6"/>
        <v>0.27443999999999996</v>
      </c>
      <c r="J91">
        <f t="shared" si="7"/>
        <v>1.3157936240831769</v>
      </c>
      <c r="K91">
        <f t="shared" si="8"/>
        <v>0.90555999999999992</v>
      </c>
      <c r="L91">
        <f t="shared" si="9"/>
        <v>2.4733165926056713</v>
      </c>
      <c r="N91" t="s">
        <v>256</v>
      </c>
    </row>
    <row r="92" spans="1:14" x14ac:dyDescent="0.3">
      <c r="A92" t="s">
        <v>233</v>
      </c>
      <c r="B92" t="str">
        <f t="shared" si="10"/>
        <v>Employment: Missing</v>
      </c>
      <c r="C92" t="s">
        <v>223</v>
      </c>
      <c r="D92">
        <v>-0.499</v>
      </c>
      <c r="E92">
        <v>0.78500000000000003</v>
      </c>
      <c r="F92">
        <v>-0.63500000000000001</v>
      </c>
      <c r="G92">
        <v>0.52500000000000002</v>
      </c>
      <c r="H92">
        <f t="shared" si="11"/>
        <v>0.60713749373878967</v>
      </c>
      <c r="I92">
        <f t="shared" si="6"/>
        <v>-2.0375999999999999</v>
      </c>
      <c r="J92">
        <f t="shared" si="7"/>
        <v>0.13034115456698747</v>
      </c>
      <c r="K92">
        <f t="shared" si="8"/>
        <v>1.0396000000000001</v>
      </c>
      <c r="L92">
        <f t="shared" si="9"/>
        <v>2.828085553853005</v>
      </c>
      <c r="N92" t="s">
        <v>247</v>
      </c>
    </row>
    <row r="93" spans="1:14" x14ac:dyDescent="0.3">
      <c r="A93" t="s">
        <v>233</v>
      </c>
      <c r="B93" t="str">
        <f t="shared" si="10"/>
        <v>Child in household</v>
      </c>
      <c r="C93" t="s">
        <v>223</v>
      </c>
      <c r="D93">
        <v>3.7999999999999999E-2</v>
      </c>
      <c r="E93">
        <v>9.6000000000000002E-2</v>
      </c>
      <c r="F93">
        <v>0.39100000000000001</v>
      </c>
      <c r="G93">
        <v>0.69599999999999995</v>
      </c>
      <c r="H93">
        <f t="shared" si="11"/>
        <v>1.0387312328784977</v>
      </c>
      <c r="I93">
        <f t="shared" si="6"/>
        <v>-0.15015999999999999</v>
      </c>
      <c r="J93">
        <f t="shared" si="7"/>
        <v>0.86057027416530441</v>
      </c>
      <c r="K93">
        <f t="shared" si="8"/>
        <v>0.22616</v>
      </c>
      <c r="L93">
        <f t="shared" si="9"/>
        <v>1.2537762534312558</v>
      </c>
      <c r="N93" t="s">
        <v>260</v>
      </c>
    </row>
    <row r="94" spans="1:14" x14ac:dyDescent="0.3">
      <c r="A94" t="s">
        <v>233</v>
      </c>
      <c r="B94" t="str">
        <f t="shared" si="10"/>
        <v>Child in household: Missing (Ref: No child)</v>
      </c>
      <c r="C94" t="s">
        <v>223</v>
      </c>
      <c r="D94">
        <v>1.7000000000000001E-2</v>
      </c>
      <c r="E94">
        <v>0.30499999999999999</v>
      </c>
      <c r="F94">
        <v>5.7000000000000002E-2</v>
      </c>
      <c r="G94">
        <v>0.95499999999999996</v>
      </c>
      <c r="H94">
        <f t="shared" si="11"/>
        <v>1.0171453223252407</v>
      </c>
      <c r="I94">
        <f t="shared" si="6"/>
        <v>-0.58079999999999998</v>
      </c>
      <c r="J94">
        <f t="shared" si="7"/>
        <v>0.55945062699185855</v>
      </c>
      <c r="K94">
        <f t="shared" si="8"/>
        <v>0.61480000000000001</v>
      </c>
      <c r="L94">
        <f t="shared" si="9"/>
        <v>1.8492867052290813</v>
      </c>
      <c r="N94" t="s">
        <v>261</v>
      </c>
    </row>
    <row r="95" spans="1:14" x14ac:dyDescent="0.3">
      <c r="A95" t="s">
        <v>233</v>
      </c>
      <c r="B95" t="str">
        <f t="shared" si="10"/>
        <v>Income: Low tertile</v>
      </c>
      <c r="C95" t="s">
        <v>223</v>
      </c>
      <c r="D95">
        <v>-4.1000000000000002E-2</v>
      </c>
      <c r="E95">
        <v>0.11</v>
      </c>
      <c r="F95">
        <v>-0.376</v>
      </c>
      <c r="G95">
        <v>0.70699999999999996</v>
      </c>
      <c r="H95">
        <f t="shared" si="11"/>
        <v>0.9598291299477989</v>
      </c>
      <c r="I95">
        <f t="shared" si="6"/>
        <v>-0.25659999999999999</v>
      </c>
      <c r="J95">
        <f t="shared" si="7"/>
        <v>0.77367762292866249</v>
      </c>
      <c r="K95">
        <f t="shared" si="8"/>
        <v>0.17459999999999998</v>
      </c>
      <c r="L95">
        <f t="shared" si="9"/>
        <v>1.1907698134127052</v>
      </c>
      <c r="N95" t="s">
        <v>246</v>
      </c>
    </row>
    <row r="96" spans="1:14" x14ac:dyDescent="0.3">
      <c r="A96" t="s">
        <v>233</v>
      </c>
      <c r="B96" t="str">
        <f t="shared" si="10"/>
        <v>Income: High tertile</v>
      </c>
      <c r="C96" t="s">
        <v>223</v>
      </c>
      <c r="D96">
        <v>2.1000000000000001E-2</v>
      </c>
      <c r="E96">
        <v>0.10100000000000001</v>
      </c>
      <c r="F96">
        <v>0.21</v>
      </c>
      <c r="G96">
        <v>0.83299999999999996</v>
      </c>
      <c r="H96">
        <f t="shared" si="11"/>
        <v>1.0212220516375285</v>
      </c>
      <c r="I96">
        <f t="shared" si="6"/>
        <v>-0.17696000000000001</v>
      </c>
      <c r="J96">
        <f t="shared" si="7"/>
        <v>0.83781329638460755</v>
      </c>
      <c r="K96">
        <f t="shared" si="8"/>
        <v>0.21895999999999999</v>
      </c>
      <c r="L96">
        <f t="shared" si="9"/>
        <v>1.2447814844323155</v>
      </c>
      <c r="N96" t="s">
        <v>245</v>
      </c>
    </row>
    <row r="97" spans="1:14" x14ac:dyDescent="0.3">
      <c r="A97" t="s">
        <v>233</v>
      </c>
      <c r="B97" t="str">
        <f t="shared" si="10"/>
        <v>Income: Missing (Ref: Medium)</v>
      </c>
      <c r="C97" s="75" t="s">
        <v>223</v>
      </c>
      <c r="D97" s="75">
        <v>0.36</v>
      </c>
      <c r="E97" s="75">
        <v>0.15</v>
      </c>
      <c r="F97" s="75">
        <v>2.4089999999999998</v>
      </c>
      <c r="G97" s="75">
        <v>1.6E-2</v>
      </c>
      <c r="H97">
        <f t="shared" si="11"/>
        <v>1.4333294145603401</v>
      </c>
      <c r="I97">
        <f t="shared" si="6"/>
        <v>6.6000000000000003E-2</v>
      </c>
      <c r="J97">
        <f t="shared" si="7"/>
        <v>1.0682267171659934</v>
      </c>
      <c r="K97">
        <f t="shared" si="8"/>
        <v>0.65399999999999991</v>
      </c>
      <c r="L97">
        <f t="shared" si="9"/>
        <v>1.923218337109468</v>
      </c>
      <c r="N97" t="s">
        <v>258</v>
      </c>
    </row>
    <row r="98" spans="1:14" x14ac:dyDescent="0.3">
      <c r="A98" t="s">
        <v>234</v>
      </c>
      <c r="B98" t="str">
        <f t="shared" si="10"/>
        <v>Household member (Ref: Anchor)</v>
      </c>
      <c r="C98" t="s">
        <v>224</v>
      </c>
      <c r="D98">
        <v>4.9000000000000002E-2</v>
      </c>
      <c r="E98">
        <v>8.2000000000000003E-2</v>
      </c>
      <c r="F98">
        <v>0.59199999999999997</v>
      </c>
      <c r="G98">
        <v>0.55400000000000005</v>
      </c>
      <c r="H98">
        <f t="shared" si="11"/>
        <v>1.0502203507400281</v>
      </c>
      <c r="I98">
        <f t="shared" si="6"/>
        <v>-0.11172</v>
      </c>
      <c r="J98">
        <f t="shared" si="7"/>
        <v>0.89429462494226353</v>
      </c>
      <c r="K98">
        <f t="shared" si="8"/>
        <v>0.20972000000000002</v>
      </c>
      <c r="L98">
        <f t="shared" si="9"/>
        <v>1.233332678455622</v>
      </c>
      <c r="N98" t="s">
        <v>254</v>
      </c>
    </row>
    <row r="99" spans="1:14" x14ac:dyDescent="0.3">
      <c r="A99" t="s">
        <v>234</v>
      </c>
      <c r="B99" t="str">
        <f t="shared" si="10"/>
        <v>Age: Young tertile (Ref: Medium)</v>
      </c>
      <c r="C99" t="s">
        <v>224</v>
      </c>
      <c r="D99">
        <v>3.9E-2</v>
      </c>
      <c r="E99">
        <v>9.4E-2</v>
      </c>
      <c r="F99">
        <v>0.41599999999999998</v>
      </c>
      <c r="G99">
        <v>0.67700000000000005</v>
      </c>
      <c r="H99">
        <f t="shared" si="11"/>
        <v>1.0397704836501578</v>
      </c>
      <c r="I99">
        <f t="shared" si="6"/>
        <v>-0.14523999999999998</v>
      </c>
      <c r="J99">
        <f t="shared" si="7"/>
        <v>0.86481471267104393</v>
      </c>
      <c r="K99">
        <f t="shared" si="8"/>
        <v>0.22323999999999999</v>
      </c>
      <c r="L99">
        <f t="shared" si="9"/>
        <v>1.2501205666713928</v>
      </c>
      <c r="N99" t="s">
        <v>244</v>
      </c>
    </row>
    <row r="100" spans="1:14" x14ac:dyDescent="0.3">
      <c r="A100" t="s">
        <v>234</v>
      </c>
      <c r="B100" t="str">
        <f t="shared" si="10"/>
        <v>Age: Old tertile</v>
      </c>
      <c r="C100" t="s">
        <v>224</v>
      </c>
      <c r="D100">
        <v>-6.6000000000000003E-2</v>
      </c>
      <c r="E100">
        <v>0.15</v>
      </c>
      <c r="F100">
        <v>-0.442</v>
      </c>
      <c r="G100">
        <v>0.65800000000000003</v>
      </c>
      <c r="H100">
        <f t="shared" si="11"/>
        <v>0.93613086429161885</v>
      </c>
      <c r="I100">
        <f t="shared" si="6"/>
        <v>-0.36</v>
      </c>
      <c r="J100">
        <f t="shared" si="7"/>
        <v>0.69767632607103103</v>
      </c>
      <c r="K100">
        <f t="shared" si="8"/>
        <v>0.22799999999999998</v>
      </c>
      <c r="L100">
        <f t="shared" si="9"/>
        <v>1.2560853254323441</v>
      </c>
      <c r="N100" t="s">
        <v>251</v>
      </c>
    </row>
    <row r="101" spans="1:14" x14ac:dyDescent="0.3">
      <c r="A101" t="s">
        <v>234</v>
      </c>
      <c r="B101" t="str">
        <f t="shared" si="10"/>
        <v>Gender: Female (Ref: Not female</v>
      </c>
      <c r="C101" t="s">
        <v>224</v>
      </c>
      <c r="D101">
        <v>-0.222</v>
      </c>
      <c r="E101">
        <v>7.9000000000000001E-2</v>
      </c>
      <c r="F101">
        <v>-2.8079999999999998</v>
      </c>
      <c r="G101">
        <v>5.0000000000000001E-3</v>
      </c>
      <c r="H101">
        <f t="shared" si="11"/>
        <v>0.80091536433465915</v>
      </c>
      <c r="I101">
        <f t="shared" si="6"/>
        <v>-0.37684000000000001</v>
      </c>
      <c r="J101">
        <f t="shared" si="7"/>
        <v>0.68602582924803757</v>
      </c>
      <c r="K101">
        <f t="shared" si="8"/>
        <v>-6.7159999999999997E-2</v>
      </c>
      <c r="L101">
        <f t="shared" si="9"/>
        <v>0.9350455820744229</v>
      </c>
      <c r="N101" t="s">
        <v>114</v>
      </c>
    </row>
    <row r="102" spans="1:14" x14ac:dyDescent="0.3">
      <c r="A102" t="s">
        <v>234</v>
      </c>
      <c r="B102" t="str">
        <f t="shared" si="10"/>
        <v>Migration (Ref: No)</v>
      </c>
      <c r="C102" t="s">
        <v>224</v>
      </c>
      <c r="D102">
        <v>-0.42</v>
      </c>
      <c r="E102">
        <v>0.108</v>
      </c>
      <c r="F102">
        <v>-3.8820000000000001</v>
      </c>
      <c r="G102">
        <v>0</v>
      </c>
      <c r="H102">
        <f t="shared" si="11"/>
        <v>0.65704681981505675</v>
      </c>
      <c r="I102">
        <f t="shared" si="6"/>
        <v>-0.63168000000000002</v>
      </c>
      <c r="J102">
        <f t="shared" si="7"/>
        <v>0.53169779795403949</v>
      </c>
      <c r="K102">
        <f t="shared" si="8"/>
        <v>-0.20831999999999998</v>
      </c>
      <c r="L102">
        <f t="shared" si="9"/>
        <v>0.81194717204075606</v>
      </c>
      <c r="N102" t="s">
        <v>253</v>
      </c>
    </row>
    <row r="103" spans="1:14" x14ac:dyDescent="0.3">
      <c r="A103" t="s">
        <v>234</v>
      </c>
      <c r="B103" t="str">
        <f t="shared" si="10"/>
        <v>Education: Tertiary (Ref: Non-tert.)</v>
      </c>
      <c r="C103" t="s">
        <v>224</v>
      </c>
      <c r="D103">
        <v>0.627</v>
      </c>
      <c r="E103">
        <v>8.3000000000000004E-2</v>
      </c>
      <c r="F103">
        <v>7.5590000000000002</v>
      </c>
      <c r="G103">
        <v>0</v>
      </c>
      <c r="H103">
        <f t="shared" si="11"/>
        <v>1.8719861883312423</v>
      </c>
      <c r="I103">
        <f t="shared" si="6"/>
        <v>0.46431999999999995</v>
      </c>
      <c r="J103">
        <f t="shared" si="7"/>
        <v>1.5909319872289225</v>
      </c>
      <c r="K103">
        <f t="shared" si="8"/>
        <v>0.78968000000000005</v>
      </c>
      <c r="L103">
        <f t="shared" si="9"/>
        <v>2.2026914522013992</v>
      </c>
      <c r="N103" t="s">
        <v>252</v>
      </c>
    </row>
    <row r="104" spans="1:14" x14ac:dyDescent="0.3">
      <c r="A104" t="s">
        <v>234</v>
      </c>
      <c r="B104" t="str">
        <f t="shared" si="10"/>
        <v>Education: Missing</v>
      </c>
      <c r="C104" t="s">
        <v>224</v>
      </c>
      <c r="D104">
        <v>-8.5999999999999993E-2</v>
      </c>
      <c r="E104">
        <v>0.32900000000000001</v>
      </c>
      <c r="F104">
        <v>-0.26200000000000001</v>
      </c>
      <c r="G104">
        <v>0.79400000000000004</v>
      </c>
      <c r="H104">
        <f t="shared" si="11"/>
        <v>0.91759423122015094</v>
      </c>
      <c r="I104">
        <f t="shared" si="6"/>
        <v>-0.73083999999999993</v>
      </c>
      <c r="J104">
        <f t="shared" si="7"/>
        <v>0.48150435650842349</v>
      </c>
      <c r="K104">
        <f t="shared" si="8"/>
        <v>0.55884</v>
      </c>
      <c r="L104">
        <f t="shared" si="9"/>
        <v>1.7486428975929116</v>
      </c>
      <c r="N104" t="s">
        <v>250</v>
      </c>
    </row>
    <row r="105" spans="1:14" x14ac:dyDescent="0.3">
      <c r="A105" t="s">
        <v>234</v>
      </c>
      <c r="B105" t="str">
        <f t="shared" si="10"/>
        <v>Employment: Part-time</v>
      </c>
      <c r="C105" t="s">
        <v>224</v>
      </c>
      <c r="D105">
        <v>0.437</v>
      </c>
      <c r="E105">
        <v>0.11</v>
      </c>
      <c r="F105">
        <v>3.964</v>
      </c>
      <c r="G105">
        <v>0</v>
      </c>
      <c r="H105">
        <f t="shared" si="11"/>
        <v>1.5480560770563401</v>
      </c>
      <c r="I105">
        <f t="shared" si="6"/>
        <v>0.22140000000000001</v>
      </c>
      <c r="J105">
        <f t="shared" si="7"/>
        <v>1.247822459735471</v>
      </c>
      <c r="K105">
        <f t="shared" si="8"/>
        <v>0.65259999999999996</v>
      </c>
      <c r="L105">
        <f t="shared" si="9"/>
        <v>1.9205277153122411</v>
      </c>
      <c r="N105" t="s">
        <v>248</v>
      </c>
    </row>
    <row r="106" spans="1:14" x14ac:dyDescent="0.3">
      <c r="A106" t="s">
        <v>234</v>
      </c>
      <c r="B106" t="str">
        <f t="shared" si="10"/>
        <v>Employment: None</v>
      </c>
      <c r="C106" t="s">
        <v>224</v>
      </c>
      <c r="D106">
        <v>0.59699999999999998</v>
      </c>
      <c r="E106">
        <v>0.124</v>
      </c>
      <c r="F106">
        <v>4.83</v>
      </c>
      <c r="G106">
        <v>0</v>
      </c>
      <c r="H106">
        <f t="shared" si="11"/>
        <v>1.8166606353305506</v>
      </c>
      <c r="I106">
        <f t="shared" si="6"/>
        <v>0.35395999999999994</v>
      </c>
      <c r="J106">
        <f t="shared" si="7"/>
        <v>1.4246981974122181</v>
      </c>
      <c r="K106">
        <f t="shared" si="8"/>
        <v>0.84004000000000001</v>
      </c>
      <c r="L106">
        <f t="shared" si="9"/>
        <v>2.3164596333132814</v>
      </c>
      <c r="N106" t="s">
        <v>249</v>
      </c>
    </row>
    <row r="107" spans="1:14" x14ac:dyDescent="0.3">
      <c r="A107" t="s">
        <v>234</v>
      </c>
      <c r="B107" t="str">
        <f t="shared" si="10"/>
        <v>Employment: Retired (Ref: Full)</v>
      </c>
      <c r="C107" t="s">
        <v>224</v>
      </c>
      <c r="D107">
        <v>0.26200000000000001</v>
      </c>
      <c r="E107">
        <v>0.16</v>
      </c>
      <c r="F107">
        <v>1.637</v>
      </c>
      <c r="G107">
        <v>0.10199999999999999</v>
      </c>
      <c r="H107">
        <f t="shared" si="11"/>
        <v>1.2995265424293818</v>
      </c>
      <c r="I107">
        <f t="shared" si="6"/>
        <v>-5.1599999999999979E-2</v>
      </c>
      <c r="J107">
        <f t="shared" si="7"/>
        <v>0.94970867434606332</v>
      </c>
      <c r="K107">
        <f t="shared" si="8"/>
        <v>0.5756</v>
      </c>
      <c r="L107">
        <f t="shared" si="9"/>
        <v>1.778197125177668</v>
      </c>
      <c r="N107" t="s">
        <v>256</v>
      </c>
    </row>
    <row r="108" spans="1:14" x14ac:dyDescent="0.3">
      <c r="A108" t="s">
        <v>234</v>
      </c>
      <c r="B108" t="str">
        <f t="shared" si="10"/>
        <v>Employment: Missing</v>
      </c>
      <c r="C108" t="s">
        <v>224</v>
      </c>
      <c r="D108">
        <v>0.27100000000000002</v>
      </c>
      <c r="E108">
        <v>0.41099999999999998</v>
      </c>
      <c r="F108">
        <v>0.65900000000000003</v>
      </c>
      <c r="G108">
        <v>0.51</v>
      </c>
      <c r="H108">
        <f t="shared" si="11"/>
        <v>1.3112750703845879</v>
      </c>
      <c r="I108">
        <f t="shared" si="6"/>
        <v>-0.53455999999999992</v>
      </c>
      <c r="J108">
        <f t="shared" si="7"/>
        <v>0.58592704133356066</v>
      </c>
      <c r="K108">
        <f t="shared" si="8"/>
        <v>1.07656</v>
      </c>
      <c r="L108">
        <f t="shared" si="9"/>
        <v>2.9345672565285308</v>
      </c>
      <c r="N108" t="s">
        <v>247</v>
      </c>
    </row>
    <row r="109" spans="1:14" x14ac:dyDescent="0.3">
      <c r="A109" t="s">
        <v>234</v>
      </c>
      <c r="B109" t="str">
        <f t="shared" si="10"/>
        <v>Child in household</v>
      </c>
      <c r="C109" t="s">
        <v>224</v>
      </c>
      <c r="D109">
        <v>-0.35499999999999998</v>
      </c>
      <c r="E109">
        <v>0.10299999999999999</v>
      </c>
      <c r="F109">
        <v>-3.4359999999999999</v>
      </c>
      <c r="G109">
        <v>1E-3</v>
      </c>
      <c r="H109">
        <f t="shared" si="11"/>
        <v>0.70117344320857244</v>
      </c>
      <c r="I109">
        <f t="shared" si="6"/>
        <v>-0.55687999999999993</v>
      </c>
      <c r="J109">
        <f t="shared" si="7"/>
        <v>0.5729940192104318</v>
      </c>
      <c r="K109">
        <f t="shared" si="8"/>
        <v>-0.15312000000000001</v>
      </c>
      <c r="L109">
        <f t="shared" si="9"/>
        <v>0.85802675242306325</v>
      </c>
      <c r="N109" t="s">
        <v>260</v>
      </c>
    </row>
    <row r="110" spans="1:14" x14ac:dyDescent="0.3">
      <c r="A110" t="s">
        <v>234</v>
      </c>
      <c r="B110" t="str">
        <f t="shared" si="10"/>
        <v>Child in household: Missing (Ref: No child)</v>
      </c>
      <c r="C110" t="s">
        <v>224</v>
      </c>
      <c r="D110">
        <v>-0.45100000000000001</v>
      </c>
      <c r="E110">
        <v>0.22700000000000001</v>
      </c>
      <c r="F110">
        <v>-1.9850000000000001</v>
      </c>
      <c r="G110">
        <v>4.7E-2</v>
      </c>
      <c r="H110">
        <f t="shared" si="11"/>
        <v>0.63699084217798252</v>
      </c>
      <c r="I110">
        <f t="shared" si="6"/>
        <v>-0.89592000000000005</v>
      </c>
      <c r="J110">
        <f t="shared" si="7"/>
        <v>0.40823185251981714</v>
      </c>
      <c r="K110">
        <f t="shared" si="8"/>
        <v>-6.0800000000000298E-3</v>
      </c>
      <c r="L110">
        <f t="shared" si="9"/>
        <v>0.99393844579758361</v>
      </c>
      <c r="N110" t="s">
        <v>261</v>
      </c>
    </row>
    <row r="111" spans="1:14" x14ac:dyDescent="0.3">
      <c r="A111" t="s">
        <v>234</v>
      </c>
      <c r="B111" t="str">
        <f t="shared" si="10"/>
        <v>Income: Low tertile</v>
      </c>
      <c r="C111" t="s">
        <v>224</v>
      </c>
      <c r="D111">
        <v>-8.8999999999999996E-2</v>
      </c>
      <c r="E111">
        <v>0.107</v>
      </c>
      <c r="F111">
        <v>-0.82799999999999996</v>
      </c>
      <c r="G111">
        <v>0.40799999999999997</v>
      </c>
      <c r="H111">
        <f t="shared" si="11"/>
        <v>0.91484557357445195</v>
      </c>
      <c r="I111">
        <f t="shared" si="6"/>
        <v>-0.29871999999999999</v>
      </c>
      <c r="J111">
        <f t="shared" si="7"/>
        <v>0.74176707514149443</v>
      </c>
      <c r="K111">
        <f t="shared" si="8"/>
        <v>0.12071999999999999</v>
      </c>
      <c r="L111">
        <f t="shared" si="9"/>
        <v>1.1283089416298486</v>
      </c>
      <c r="N111" t="s">
        <v>246</v>
      </c>
    </row>
    <row r="112" spans="1:14" x14ac:dyDescent="0.3">
      <c r="A112" t="s">
        <v>234</v>
      </c>
      <c r="B112" t="str">
        <f t="shared" si="10"/>
        <v>Income: High tertile</v>
      </c>
      <c r="C112" t="s">
        <v>224</v>
      </c>
      <c r="D112">
        <v>0.29099999999999998</v>
      </c>
      <c r="E112">
        <v>0.107</v>
      </c>
      <c r="F112">
        <v>2.734</v>
      </c>
      <c r="G112">
        <v>6.0000000000000001E-3</v>
      </c>
      <c r="H112">
        <f t="shared" si="11"/>
        <v>1.3377645839500352</v>
      </c>
      <c r="I112">
        <f t="shared" si="6"/>
        <v>8.1279999999999991E-2</v>
      </c>
      <c r="J112">
        <f t="shared" si="7"/>
        <v>1.0846745629291057</v>
      </c>
      <c r="K112">
        <f t="shared" si="8"/>
        <v>0.50071999999999994</v>
      </c>
      <c r="L112">
        <f t="shared" si="9"/>
        <v>1.6499087774661676</v>
      </c>
      <c r="N112" t="s">
        <v>245</v>
      </c>
    </row>
    <row r="113" spans="1:14" x14ac:dyDescent="0.3">
      <c r="A113" t="s">
        <v>234</v>
      </c>
      <c r="B113" t="str">
        <f t="shared" si="10"/>
        <v>Income: Missing (Ref: Medium)</v>
      </c>
      <c r="C113" t="s">
        <v>224</v>
      </c>
      <c r="D113">
        <v>0.439</v>
      </c>
      <c r="E113">
        <v>0.13300000000000001</v>
      </c>
      <c r="F113">
        <v>3.3069999999999999</v>
      </c>
      <c r="G113">
        <v>1E-3</v>
      </c>
      <c r="H113">
        <f t="shared" si="11"/>
        <v>1.5511552873877141</v>
      </c>
      <c r="I113">
        <f t="shared" si="6"/>
        <v>0.17831999999999998</v>
      </c>
      <c r="J113">
        <f t="shared" si="7"/>
        <v>1.1952077265191783</v>
      </c>
      <c r="K113">
        <f t="shared" si="8"/>
        <v>0.69968000000000008</v>
      </c>
      <c r="L113">
        <f t="shared" si="9"/>
        <v>2.013108409697228</v>
      </c>
      <c r="N113" t="s">
        <v>258</v>
      </c>
    </row>
    <row r="114" spans="1:14" x14ac:dyDescent="0.3">
      <c r="A114" t="s">
        <v>234</v>
      </c>
      <c r="B114" t="str">
        <f t="shared" si="10"/>
        <v>Household member (Ref: Anchor)</v>
      </c>
      <c r="C114" t="s">
        <v>225</v>
      </c>
      <c r="D114">
        <v>5.5E-2</v>
      </c>
      <c r="E114">
        <v>8.1000000000000003E-2</v>
      </c>
      <c r="F114">
        <v>0.67700000000000005</v>
      </c>
      <c r="G114">
        <v>0.498</v>
      </c>
      <c r="H114">
        <f t="shared" si="11"/>
        <v>1.0565406146754943</v>
      </c>
      <c r="I114">
        <f t="shared" si="6"/>
        <v>-0.10376000000000002</v>
      </c>
      <c r="J114">
        <f t="shared" si="7"/>
        <v>0.90144161744995099</v>
      </c>
      <c r="K114">
        <f t="shared" si="8"/>
        <v>0.21376000000000001</v>
      </c>
      <c r="L114">
        <f t="shared" si="9"/>
        <v>1.2383254210257808</v>
      </c>
      <c r="N114" t="s">
        <v>254</v>
      </c>
    </row>
    <row r="115" spans="1:14" x14ac:dyDescent="0.3">
      <c r="A115" t="s">
        <v>234</v>
      </c>
      <c r="B115" t="str">
        <f t="shared" si="10"/>
        <v>Age: Young tertile (Ref: Medium)</v>
      </c>
      <c r="C115" t="s">
        <v>225</v>
      </c>
      <c r="D115">
        <v>-0.12</v>
      </c>
      <c r="E115">
        <v>9.4E-2</v>
      </c>
      <c r="F115">
        <v>-1.2789999999999999</v>
      </c>
      <c r="G115">
        <v>0.20100000000000001</v>
      </c>
      <c r="H115">
        <f t="shared" si="11"/>
        <v>0.88692043671715748</v>
      </c>
      <c r="I115">
        <f t="shared" si="6"/>
        <v>-0.30423999999999995</v>
      </c>
      <c r="J115">
        <f t="shared" si="7"/>
        <v>0.73768380109133613</v>
      </c>
      <c r="K115">
        <f t="shared" si="8"/>
        <v>6.4239999999999992E-2</v>
      </c>
      <c r="L115">
        <f t="shared" si="9"/>
        <v>1.0663482916431255</v>
      </c>
      <c r="N115" t="s">
        <v>244</v>
      </c>
    </row>
    <row r="116" spans="1:14" x14ac:dyDescent="0.3">
      <c r="A116" t="s">
        <v>234</v>
      </c>
      <c r="B116" t="str">
        <f t="shared" si="10"/>
        <v>Age: Old tertile</v>
      </c>
      <c r="C116" t="s">
        <v>225</v>
      </c>
      <c r="D116">
        <v>-0.105</v>
      </c>
      <c r="E116">
        <v>0.14499999999999999</v>
      </c>
      <c r="F116">
        <v>-0.72299999999999998</v>
      </c>
      <c r="G116">
        <v>0.47</v>
      </c>
      <c r="H116">
        <f t="shared" si="11"/>
        <v>0.90032452258626561</v>
      </c>
      <c r="I116">
        <f t="shared" si="6"/>
        <v>-0.38919999999999993</v>
      </c>
      <c r="J116">
        <f t="shared" si="7"/>
        <v>0.67759873671375015</v>
      </c>
      <c r="K116">
        <f t="shared" si="8"/>
        <v>0.17919999999999997</v>
      </c>
      <c r="L116">
        <f t="shared" si="9"/>
        <v>1.1962599722387268</v>
      </c>
      <c r="N116" t="s">
        <v>251</v>
      </c>
    </row>
    <row r="117" spans="1:14" x14ac:dyDescent="0.3">
      <c r="A117" t="s">
        <v>234</v>
      </c>
      <c r="B117" t="str">
        <f t="shared" si="10"/>
        <v>Gender: Female (Ref: Not female</v>
      </c>
      <c r="C117" t="s">
        <v>225</v>
      </c>
      <c r="D117">
        <v>0.311</v>
      </c>
      <c r="E117">
        <v>8.2000000000000003E-2</v>
      </c>
      <c r="F117">
        <v>3.8159999999999998</v>
      </c>
      <c r="G117">
        <v>0</v>
      </c>
      <c r="H117">
        <f t="shared" si="11"/>
        <v>1.3647892211861614</v>
      </c>
      <c r="I117">
        <f t="shared" si="6"/>
        <v>0.15028</v>
      </c>
      <c r="J117">
        <f t="shared" si="7"/>
        <v>1.1621596018644005</v>
      </c>
      <c r="K117">
        <f t="shared" si="8"/>
        <v>0.47172000000000003</v>
      </c>
      <c r="L117">
        <f t="shared" si="9"/>
        <v>1.6027485512986031</v>
      </c>
      <c r="N117" t="s">
        <v>114</v>
      </c>
    </row>
    <row r="118" spans="1:14" x14ac:dyDescent="0.3">
      <c r="A118" t="s">
        <v>234</v>
      </c>
      <c r="B118" t="str">
        <f t="shared" si="10"/>
        <v>Migration (Ref: No)</v>
      </c>
      <c r="C118" t="s">
        <v>225</v>
      </c>
      <c r="D118">
        <v>1.2999999999999999E-2</v>
      </c>
      <c r="E118">
        <v>0.113</v>
      </c>
      <c r="F118">
        <v>0.11600000000000001</v>
      </c>
      <c r="G118">
        <v>0.90800000000000003</v>
      </c>
      <c r="H118">
        <f t="shared" si="11"/>
        <v>1.0130848673598092</v>
      </c>
      <c r="I118">
        <f t="shared" si="6"/>
        <v>-0.20848</v>
      </c>
      <c r="J118">
        <f t="shared" si="7"/>
        <v>0.81181727088559907</v>
      </c>
      <c r="K118">
        <f t="shared" si="8"/>
        <v>0.23448000000000002</v>
      </c>
      <c r="L118">
        <f t="shared" si="9"/>
        <v>1.2642511871591773</v>
      </c>
      <c r="N118" t="s">
        <v>253</v>
      </c>
    </row>
    <row r="119" spans="1:14" x14ac:dyDescent="0.3">
      <c r="A119" t="s">
        <v>234</v>
      </c>
      <c r="B119" t="str">
        <f t="shared" si="10"/>
        <v>Education: Tertiary (Ref: Non-tert.)</v>
      </c>
      <c r="C119" t="s">
        <v>225</v>
      </c>
      <c r="D119">
        <v>-5.8999999999999997E-2</v>
      </c>
      <c r="E119">
        <v>8.3000000000000004E-2</v>
      </c>
      <c r="F119">
        <v>-0.71599999999999997</v>
      </c>
      <c r="G119">
        <v>0.47399999999999998</v>
      </c>
      <c r="H119">
        <f t="shared" si="11"/>
        <v>0.94270676915709972</v>
      </c>
      <c r="I119">
        <f t="shared" si="6"/>
        <v>-0.22168000000000002</v>
      </c>
      <c r="J119">
        <f t="shared" si="7"/>
        <v>0.80117169826248735</v>
      </c>
      <c r="K119">
        <f t="shared" si="8"/>
        <v>0.10368000000000002</v>
      </c>
      <c r="L119">
        <f t="shared" si="9"/>
        <v>1.1092454395754934</v>
      </c>
      <c r="N119" t="s">
        <v>252</v>
      </c>
    </row>
    <row r="120" spans="1:14" x14ac:dyDescent="0.3">
      <c r="A120" t="s">
        <v>234</v>
      </c>
      <c r="B120" t="str">
        <f t="shared" si="10"/>
        <v>Education: Missing</v>
      </c>
      <c r="C120" t="s">
        <v>225</v>
      </c>
      <c r="D120">
        <v>0.621</v>
      </c>
      <c r="E120">
        <v>0.436</v>
      </c>
      <c r="F120">
        <v>1.4259999999999999</v>
      </c>
      <c r="G120">
        <v>0.154</v>
      </c>
      <c r="H120">
        <f t="shared" si="11"/>
        <v>1.8607878996621081</v>
      </c>
      <c r="I120">
        <f t="shared" si="6"/>
        <v>-0.23355999999999999</v>
      </c>
      <c r="J120">
        <f t="shared" si="7"/>
        <v>0.79171009170963813</v>
      </c>
      <c r="K120">
        <f t="shared" si="8"/>
        <v>1.47556</v>
      </c>
      <c r="L120">
        <f t="shared" si="9"/>
        <v>4.3734842384689632</v>
      </c>
      <c r="N120" t="s">
        <v>250</v>
      </c>
    </row>
    <row r="121" spans="1:14" x14ac:dyDescent="0.3">
      <c r="A121" t="s">
        <v>234</v>
      </c>
      <c r="B121" t="str">
        <f t="shared" si="10"/>
        <v>Employment: Part-time</v>
      </c>
      <c r="C121" t="s">
        <v>225</v>
      </c>
      <c r="D121">
        <v>0.16600000000000001</v>
      </c>
      <c r="E121">
        <v>0.113</v>
      </c>
      <c r="F121">
        <v>1.466</v>
      </c>
      <c r="G121">
        <v>0.14299999999999999</v>
      </c>
      <c r="H121">
        <f t="shared" si="11"/>
        <v>1.1805731017232761</v>
      </c>
      <c r="I121">
        <f t="shared" si="6"/>
        <v>-5.5480000000000002E-2</v>
      </c>
      <c r="J121">
        <f t="shared" si="7"/>
        <v>0.94603094410011168</v>
      </c>
      <c r="K121">
        <f t="shared" si="8"/>
        <v>0.38748000000000005</v>
      </c>
      <c r="L121">
        <f t="shared" si="9"/>
        <v>1.4732634880545998</v>
      </c>
      <c r="N121" t="s">
        <v>248</v>
      </c>
    </row>
    <row r="122" spans="1:14" x14ac:dyDescent="0.3">
      <c r="A122" t="s">
        <v>234</v>
      </c>
      <c r="B122" t="str">
        <f t="shared" si="10"/>
        <v>Employment: None</v>
      </c>
      <c r="C122" t="s">
        <v>225</v>
      </c>
      <c r="D122">
        <v>0.317</v>
      </c>
      <c r="E122">
        <v>0.126</v>
      </c>
      <c r="F122">
        <v>2.524</v>
      </c>
      <c r="G122">
        <v>1.2E-2</v>
      </c>
      <c r="H122">
        <f t="shared" si="11"/>
        <v>1.3730025719254588</v>
      </c>
      <c r="I122">
        <f t="shared" si="6"/>
        <v>7.0040000000000019E-2</v>
      </c>
      <c r="J122">
        <f t="shared" si="7"/>
        <v>1.0725510824394846</v>
      </c>
      <c r="K122">
        <f t="shared" si="8"/>
        <v>0.56396000000000002</v>
      </c>
      <c r="L122">
        <f t="shared" si="9"/>
        <v>1.7576189082073745</v>
      </c>
      <c r="N122" t="s">
        <v>249</v>
      </c>
    </row>
    <row r="123" spans="1:14" x14ac:dyDescent="0.3">
      <c r="A123" t="s">
        <v>234</v>
      </c>
      <c r="B123" t="str">
        <f t="shared" si="10"/>
        <v>Employment: Retired (Ref: Full)</v>
      </c>
      <c r="C123" t="s">
        <v>225</v>
      </c>
      <c r="D123">
        <v>0.372</v>
      </c>
      <c r="E123">
        <v>0.158</v>
      </c>
      <c r="F123">
        <v>2.3610000000000002</v>
      </c>
      <c r="G123">
        <v>1.7999999999999999E-2</v>
      </c>
      <c r="H123">
        <f t="shared" si="11"/>
        <v>1.4506329812931589</v>
      </c>
      <c r="I123">
        <f t="shared" si="6"/>
        <v>6.2319999999999987E-2</v>
      </c>
      <c r="J123">
        <f t="shared" si="7"/>
        <v>1.0643028671590298</v>
      </c>
      <c r="K123">
        <f t="shared" si="8"/>
        <v>0.68168000000000006</v>
      </c>
      <c r="L123">
        <f t="shared" si="9"/>
        <v>1.9771966339174063</v>
      </c>
      <c r="N123" t="s">
        <v>256</v>
      </c>
    </row>
    <row r="124" spans="1:14" x14ac:dyDescent="0.3">
      <c r="A124" t="s">
        <v>234</v>
      </c>
      <c r="B124" t="str">
        <f t="shared" si="10"/>
        <v>Employment: Missing</v>
      </c>
      <c r="C124" t="s">
        <v>225</v>
      </c>
      <c r="D124">
        <v>-0.307</v>
      </c>
      <c r="E124">
        <v>0.436</v>
      </c>
      <c r="F124">
        <v>-0.70399999999999996</v>
      </c>
      <c r="G124">
        <v>0.48099999999999998</v>
      </c>
      <c r="H124">
        <f t="shared" si="11"/>
        <v>0.73565060090725332</v>
      </c>
      <c r="I124">
        <f t="shared" si="6"/>
        <v>-1.1615599999999999</v>
      </c>
      <c r="J124">
        <f t="shared" si="7"/>
        <v>0.31299752369213668</v>
      </c>
      <c r="K124">
        <f t="shared" si="8"/>
        <v>0.54756000000000005</v>
      </c>
      <c r="L124">
        <f t="shared" si="9"/>
        <v>1.7290290358575091</v>
      </c>
      <c r="N124" t="s">
        <v>247</v>
      </c>
    </row>
    <row r="125" spans="1:14" x14ac:dyDescent="0.3">
      <c r="A125" t="s">
        <v>234</v>
      </c>
      <c r="B125" t="str">
        <f t="shared" si="10"/>
        <v>Child in household</v>
      </c>
      <c r="C125" t="s">
        <v>225</v>
      </c>
      <c r="D125">
        <v>-0.157</v>
      </c>
      <c r="E125">
        <v>0.105</v>
      </c>
      <c r="F125">
        <v>-1.4990000000000001</v>
      </c>
      <c r="G125">
        <v>0.13400000000000001</v>
      </c>
      <c r="H125">
        <f t="shared" si="11"/>
        <v>0.85470405881768508</v>
      </c>
      <c r="I125">
        <f t="shared" si="6"/>
        <v>-0.36280000000000001</v>
      </c>
      <c r="J125">
        <f t="shared" si="7"/>
        <v>0.69572556469845104</v>
      </c>
      <c r="K125">
        <f t="shared" si="8"/>
        <v>4.8799999999999982E-2</v>
      </c>
      <c r="L125">
        <f t="shared" si="9"/>
        <v>1.0500103276728869</v>
      </c>
      <c r="N125" t="s">
        <v>260</v>
      </c>
    </row>
    <row r="126" spans="1:14" x14ac:dyDescent="0.3">
      <c r="A126" t="s">
        <v>234</v>
      </c>
      <c r="B126" t="str">
        <f t="shared" si="10"/>
        <v>Child in household: Missing (Ref: No child)</v>
      </c>
      <c r="C126" t="s">
        <v>225</v>
      </c>
      <c r="D126">
        <v>-0.74</v>
      </c>
      <c r="E126">
        <v>0.27600000000000002</v>
      </c>
      <c r="F126">
        <v>-2.6869999999999998</v>
      </c>
      <c r="G126">
        <v>7.0000000000000001E-3</v>
      </c>
      <c r="H126">
        <f t="shared" si="11"/>
        <v>0.47711391552103438</v>
      </c>
      <c r="I126">
        <f t="shared" si="6"/>
        <v>-1.2809599999999999</v>
      </c>
      <c r="J126">
        <f t="shared" si="7"/>
        <v>0.27777051272335873</v>
      </c>
      <c r="K126">
        <f t="shared" si="8"/>
        <v>-0.19903999999999999</v>
      </c>
      <c r="L126">
        <f t="shared" si="9"/>
        <v>0.81951711199282351</v>
      </c>
      <c r="N126" t="s">
        <v>261</v>
      </c>
    </row>
    <row r="127" spans="1:14" x14ac:dyDescent="0.3">
      <c r="A127" t="s">
        <v>234</v>
      </c>
      <c r="B127" t="str">
        <f t="shared" si="10"/>
        <v>Income: Low tertile</v>
      </c>
      <c r="C127" t="s">
        <v>225</v>
      </c>
      <c r="D127">
        <v>0.108</v>
      </c>
      <c r="E127">
        <v>0.111</v>
      </c>
      <c r="F127">
        <v>0.97499999999999998</v>
      </c>
      <c r="G127">
        <v>0.33</v>
      </c>
      <c r="H127">
        <f t="shared" si="11"/>
        <v>1.1140477453864677</v>
      </c>
      <c r="I127">
        <f t="shared" si="6"/>
        <v>-0.10956</v>
      </c>
      <c r="J127">
        <f t="shared" si="7"/>
        <v>0.89622838904552282</v>
      </c>
      <c r="K127">
        <f t="shared" si="8"/>
        <v>0.32556000000000002</v>
      </c>
      <c r="L127">
        <f t="shared" si="9"/>
        <v>1.3848059201990213</v>
      </c>
      <c r="N127" t="s">
        <v>246</v>
      </c>
    </row>
    <row r="128" spans="1:14" x14ac:dyDescent="0.3">
      <c r="A128" t="s">
        <v>234</v>
      </c>
      <c r="B128" t="str">
        <f t="shared" si="10"/>
        <v>Income: High tertile</v>
      </c>
      <c r="C128" t="s">
        <v>225</v>
      </c>
      <c r="D128">
        <v>-1.4E-2</v>
      </c>
      <c r="E128">
        <v>9.9000000000000005E-2</v>
      </c>
      <c r="F128">
        <v>-0.13700000000000001</v>
      </c>
      <c r="G128">
        <v>0.89100000000000001</v>
      </c>
      <c r="H128">
        <f t="shared" si="11"/>
        <v>0.98609754426286189</v>
      </c>
      <c r="I128">
        <f t="shared" si="6"/>
        <v>-0.20804000000000003</v>
      </c>
      <c r="J128">
        <f t="shared" si="7"/>
        <v>0.81217454908022746</v>
      </c>
      <c r="K128">
        <f t="shared" si="8"/>
        <v>0.18004000000000001</v>
      </c>
      <c r="L128">
        <f t="shared" si="9"/>
        <v>1.1972652527741217</v>
      </c>
      <c r="N128" t="s">
        <v>245</v>
      </c>
    </row>
    <row r="129" spans="1:14" x14ac:dyDescent="0.3">
      <c r="A129" t="s">
        <v>234</v>
      </c>
      <c r="B129" t="str">
        <f t="shared" si="10"/>
        <v>Income: Missing (Ref: Medium)</v>
      </c>
      <c r="C129" t="s">
        <v>225</v>
      </c>
      <c r="D129">
        <v>1.254</v>
      </c>
      <c r="E129">
        <v>0.16200000000000001</v>
      </c>
      <c r="F129">
        <v>7.7229999999999999</v>
      </c>
      <c r="G129">
        <v>0</v>
      </c>
      <c r="H129">
        <f t="shared" si="11"/>
        <v>3.5043322893029334</v>
      </c>
      <c r="I129">
        <f t="shared" si="6"/>
        <v>0.93647999999999998</v>
      </c>
      <c r="J129">
        <f t="shared" si="7"/>
        <v>2.5509861247414056</v>
      </c>
      <c r="K129">
        <f t="shared" si="8"/>
        <v>1.57152</v>
      </c>
      <c r="L129">
        <f t="shared" si="9"/>
        <v>4.8139598544841169</v>
      </c>
      <c r="N129" t="s">
        <v>258</v>
      </c>
    </row>
    <row r="130" spans="1:14" x14ac:dyDescent="0.3">
      <c r="A130" t="s">
        <v>234</v>
      </c>
      <c r="B130" t="str">
        <f t="shared" si="10"/>
        <v>Household member (Ref: Anchor)</v>
      </c>
      <c r="C130" t="s">
        <v>223</v>
      </c>
      <c r="D130">
        <v>6.0000000000000001E-3</v>
      </c>
      <c r="E130">
        <v>7.3999999999999996E-2</v>
      </c>
      <c r="F130">
        <v>8.5999999999999993E-2</v>
      </c>
      <c r="G130">
        <v>0.93100000000000005</v>
      </c>
      <c r="H130">
        <f t="shared" si="11"/>
        <v>1.0060180360540649</v>
      </c>
      <c r="I130">
        <f t="shared" ref="I130:I193" si="12">$D130-1.96*$E130</f>
        <v>-0.13904</v>
      </c>
      <c r="J130">
        <f t="shared" ref="J130:J193" si="13">EXP($I130)</f>
        <v>0.87019322003328636</v>
      </c>
      <c r="K130">
        <f t="shared" ref="K130:K193" si="14">$D130+1.96*$E130</f>
        <v>0.15104000000000001</v>
      </c>
      <c r="L130">
        <f t="shared" ref="L130:L193" si="15">EXP($K130)</f>
        <v>1.1630431788785534</v>
      </c>
      <c r="N130" t="s">
        <v>254</v>
      </c>
    </row>
    <row r="131" spans="1:14" x14ac:dyDescent="0.3">
      <c r="A131" t="s">
        <v>234</v>
      </c>
      <c r="B131" t="str">
        <f t="shared" ref="B131:B194" si="16">N131</f>
        <v>Age: Young tertile (Ref: Medium)</v>
      </c>
      <c r="C131" t="s">
        <v>223</v>
      </c>
      <c r="D131">
        <v>-0.159</v>
      </c>
      <c r="E131">
        <v>8.3000000000000004E-2</v>
      </c>
      <c r="F131">
        <v>-1.907</v>
      </c>
      <c r="G131">
        <v>5.7000000000000002E-2</v>
      </c>
      <c r="H131">
        <f t="shared" si="11"/>
        <v>0.85299635896913151</v>
      </c>
      <c r="I131">
        <f t="shared" si="12"/>
        <v>-0.32168000000000002</v>
      </c>
      <c r="J131">
        <f t="shared" si="13"/>
        <v>0.7249301308593139</v>
      </c>
      <c r="K131">
        <f t="shared" si="14"/>
        <v>3.6800000000000166E-3</v>
      </c>
      <c r="L131">
        <f t="shared" si="15"/>
        <v>1.0036867795136526</v>
      </c>
      <c r="N131" t="s">
        <v>244</v>
      </c>
    </row>
    <row r="132" spans="1:14" x14ac:dyDescent="0.3">
      <c r="A132" t="s">
        <v>234</v>
      </c>
      <c r="B132" t="str">
        <f t="shared" si="16"/>
        <v>Age: Old tertile</v>
      </c>
      <c r="C132" t="s">
        <v>223</v>
      </c>
      <c r="D132">
        <v>-3.9E-2</v>
      </c>
      <c r="E132">
        <v>0.13800000000000001</v>
      </c>
      <c r="F132">
        <v>-0.28000000000000003</v>
      </c>
      <c r="G132">
        <v>0.77900000000000003</v>
      </c>
      <c r="H132">
        <f t="shared" si="11"/>
        <v>0.96175070914636673</v>
      </c>
      <c r="I132">
        <f t="shared" si="12"/>
        <v>-0.30947999999999998</v>
      </c>
      <c r="J132">
        <f t="shared" si="13"/>
        <v>0.73382844782074474</v>
      </c>
      <c r="K132">
        <f t="shared" si="14"/>
        <v>0.23147999999999999</v>
      </c>
      <c r="L132">
        <f t="shared" si="15"/>
        <v>1.2604641170431758</v>
      </c>
      <c r="N132" t="s">
        <v>251</v>
      </c>
    </row>
    <row r="133" spans="1:14" x14ac:dyDescent="0.3">
      <c r="A133" t="s">
        <v>234</v>
      </c>
      <c r="B133" t="str">
        <f t="shared" si="16"/>
        <v>Gender: Female (Ref: Not female</v>
      </c>
      <c r="C133" t="s">
        <v>223</v>
      </c>
      <c r="D133">
        <v>0.53400000000000003</v>
      </c>
      <c r="E133">
        <v>7.1999999999999995E-2</v>
      </c>
      <c r="F133">
        <v>7.3639999999999999</v>
      </c>
      <c r="G133">
        <v>0</v>
      </c>
      <c r="H133">
        <f t="shared" si="11"/>
        <v>1.705741647451575</v>
      </c>
      <c r="I133">
        <f t="shared" si="12"/>
        <v>0.39288000000000001</v>
      </c>
      <c r="J133">
        <f t="shared" si="13"/>
        <v>1.4812406297883307</v>
      </c>
      <c r="K133">
        <f t="shared" si="14"/>
        <v>0.67512000000000005</v>
      </c>
      <c r="L133">
        <f t="shared" si="15"/>
        <v>1.9642686740685669</v>
      </c>
      <c r="N133" t="s">
        <v>114</v>
      </c>
    </row>
    <row r="134" spans="1:14" x14ac:dyDescent="0.3">
      <c r="A134" t="s">
        <v>234</v>
      </c>
      <c r="B134" t="str">
        <f t="shared" si="16"/>
        <v>Migration (Ref: No)</v>
      </c>
      <c r="C134" t="s">
        <v>223</v>
      </c>
      <c r="D134">
        <v>0.433</v>
      </c>
      <c r="E134">
        <v>9.7000000000000003E-2</v>
      </c>
      <c r="F134">
        <v>4.45</v>
      </c>
      <c r="G134">
        <v>0</v>
      </c>
      <c r="H134">
        <f t="shared" si="11"/>
        <v>1.5418762207006325</v>
      </c>
      <c r="I134">
        <f t="shared" si="12"/>
        <v>0.24287999999999998</v>
      </c>
      <c r="J134">
        <f t="shared" si="13"/>
        <v>1.2749156250636922</v>
      </c>
      <c r="K134">
        <f t="shared" si="14"/>
        <v>0.62312000000000001</v>
      </c>
      <c r="L134">
        <f t="shared" si="15"/>
        <v>1.8647369545284975</v>
      </c>
      <c r="N134" t="s">
        <v>253</v>
      </c>
    </row>
    <row r="135" spans="1:14" x14ac:dyDescent="0.3">
      <c r="A135" t="s">
        <v>234</v>
      </c>
      <c r="B135" t="str">
        <f t="shared" si="16"/>
        <v>Education: Tertiary (Ref: Non-tert.)</v>
      </c>
      <c r="C135" t="s">
        <v>223</v>
      </c>
      <c r="D135">
        <v>-0.68700000000000006</v>
      </c>
      <c r="E135">
        <v>7.4999999999999997E-2</v>
      </c>
      <c r="F135">
        <v>-9.2040000000000006</v>
      </c>
      <c r="G135">
        <v>0</v>
      </c>
      <c r="H135">
        <f t="shared" ref="H135:H198" si="17">(EXP($D135))*1</f>
        <v>0.5030830566243506</v>
      </c>
      <c r="I135">
        <f t="shared" si="12"/>
        <v>-0.83400000000000007</v>
      </c>
      <c r="J135">
        <f t="shared" si="13"/>
        <v>0.43430857292399505</v>
      </c>
      <c r="K135">
        <f t="shared" si="14"/>
        <v>-0.54</v>
      </c>
      <c r="L135">
        <f t="shared" si="15"/>
        <v>0.58274825237398964</v>
      </c>
      <c r="N135" t="s">
        <v>252</v>
      </c>
    </row>
    <row r="136" spans="1:14" x14ac:dyDescent="0.3">
      <c r="A136" t="s">
        <v>234</v>
      </c>
      <c r="B136" t="str">
        <f t="shared" si="16"/>
        <v>Education: Missing</v>
      </c>
      <c r="C136" t="s">
        <v>223</v>
      </c>
      <c r="D136">
        <v>0.70699999999999996</v>
      </c>
      <c r="E136">
        <v>0.36899999999999999</v>
      </c>
      <c r="F136">
        <v>1.917</v>
      </c>
      <c r="G136">
        <v>5.5E-2</v>
      </c>
      <c r="H136">
        <f t="shared" si="17"/>
        <v>2.0278984286853743</v>
      </c>
      <c r="I136">
        <f t="shared" si="12"/>
        <v>-1.6240000000000032E-2</v>
      </c>
      <c r="J136">
        <f t="shared" si="13"/>
        <v>0.98389115783907133</v>
      </c>
      <c r="K136">
        <f t="shared" si="14"/>
        <v>1.43024</v>
      </c>
      <c r="L136">
        <f t="shared" si="15"/>
        <v>4.1797022000854724</v>
      </c>
      <c r="N136" t="s">
        <v>250</v>
      </c>
    </row>
    <row r="137" spans="1:14" x14ac:dyDescent="0.3">
      <c r="A137" t="s">
        <v>234</v>
      </c>
      <c r="B137" t="str">
        <f t="shared" si="16"/>
        <v>Employment: Part-time</v>
      </c>
      <c r="C137" t="s">
        <v>223</v>
      </c>
      <c r="D137">
        <v>-0.27200000000000002</v>
      </c>
      <c r="E137">
        <v>0.10100000000000001</v>
      </c>
      <c r="F137">
        <v>-2.6930000000000001</v>
      </c>
      <c r="G137">
        <v>7.0000000000000001E-3</v>
      </c>
      <c r="H137">
        <f t="shared" si="17"/>
        <v>0.76185426108983756</v>
      </c>
      <c r="I137">
        <f t="shared" si="12"/>
        <v>-0.46996000000000004</v>
      </c>
      <c r="J137">
        <f t="shared" si="13"/>
        <v>0.62502726887344051</v>
      </c>
      <c r="K137">
        <f t="shared" si="14"/>
        <v>-7.4040000000000022E-2</v>
      </c>
      <c r="L137">
        <f t="shared" si="15"/>
        <v>0.92863454771646092</v>
      </c>
      <c r="N137" t="s">
        <v>248</v>
      </c>
    </row>
    <row r="138" spans="1:14" x14ac:dyDescent="0.3">
      <c r="A138" t="s">
        <v>234</v>
      </c>
      <c r="B138" t="str">
        <f t="shared" si="16"/>
        <v>Employment: None</v>
      </c>
      <c r="C138" t="s">
        <v>223</v>
      </c>
      <c r="D138">
        <v>-0.28000000000000003</v>
      </c>
      <c r="E138">
        <v>0.11799999999999999</v>
      </c>
      <c r="F138">
        <v>-2.3759999999999999</v>
      </c>
      <c r="G138">
        <v>1.7999999999999999E-2</v>
      </c>
      <c r="H138">
        <f t="shared" si="17"/>
        <v>0.75578374145572547</v>
      </c>
      <c r="I138">
        <f t="shared" si="12"/>
        <v>-0.51127999999999996</v>
      </c>
      <c r="J138">
        <f t="shared" si="13"/>
        <v>0.59972743618754321</v>
      </c>
      <c r="K138">
        <f t="shared" si="14"/>
        <v>-4.8720000000000041E-2</v>
      </c>
      <c r="L138">
        <f t="shared" si="15"/>
        <v>0.95244777774380462</v>
      </c>
      <c r="N138" t="s">
        <v>249</v>
      </c>
    </row>
    <row r="139" spans="1:14" x14ac:dyDescent="0.3">
      <c r="A139" t="s">
        <v>234</v>
      </c>
      <c r="B139" t="str">
        <f t="shared" si="16"/>
        <v>Employment: Retired (Ref: Full)</v>
      </c>
      <c r="C139" t="s">
        <v>223</v>
      </c>
      <c r="D139">
        <v>0.11</v>
      </c>
      <c r="E139">
        <v>0.15</v>
      </c>
      <c r="F139">
        <v>0.73</v>
      </c>
      <c r="G139">
        <v>0.46500000000000002</v>
      </c>
      <c r="H139">
        <f t="shared" si="17"/>
        <v>1.1162780704588713</v>
      </c>
      <c r="I139">
        <f t="shared" si="12"/>
        <v>-0.184</v>
      </c>
      <c r="J139">
        <f t="shared" si="13"/>
        <v>0.83193580382667176</v>
      </c>
      <c r="K139">
        <f t="shared" si="14"/>
        <v>0.40399999999999997</v>
      </c>
      <c r="L139">
        <f t="shared" si="15"/>
        <v>1.4978039469581388</v>
      </c>
      <c r="N139" t="s">
        <v>256</v>
      </c>
    </row>
    <row r="140" spans="1:14" x14ac:dyDescent="0.3">
      <c r="A140" t="s">
        <v>234</v>
      </c>
      <c r="B140" t="str">
        <f t="shared" si="16"/>
        <v>Employment: Missing</v>
      </c>
      <c r="C140" t="s">
        <v>223</v>
      </c>
      <c r="D140">
        <v>-0.57799999999999996</v>
      </c>
      <c r="E140">
        <v>0.38700000000000001</v>
      </c>
      <c r="F140">
        <v>-1.4930000000000001</v>
      </c>
      <c r="G140">
        <v>0.13600000000000001</v>
      </c>
      <c r="H140">
        <f t="shared" si="17"/>
        <v>0.56101928384217059</v>
      </c>
      <c r="I140">
        <f t="shared" si="12"/>
        <v>-1.3365199999999999</v>
      </c>
      <c r="J140">
        <f t="shared" si="13"/>
        <v>0.26275847887569154</v>
      </c>
      <c r="K140">
        <f t="shared" si="14"/>
        <v>0.18052000000000001</v>
      </c>
      <c r="L140">
        <f t="shared" si="15"/>
        <v>1.1978400780424812</v>
      </c>
      <c r="N140" t="s">
        <v>247</v>
      </c>
    </row>
    <row r="141" spans="1:14" x14ac:dyDescent="0.3">
      <c r="A141" t="s">
        <v>234</v>
      </c>
      <c r="B141" t="str">
        <f t="shared" si="16"/>
        <v>Child in household</v>
      </c>
      <c r="C141" t="s">
        <v>223</v>
      </c>
      <c r="D141">
        <v>0.19800000000000001</v>
      </c>
      <c r="E141">
        <v>0.09</v>
      </c>
      <c r="F141">
        <v>2.1970000000000001</v>
      </c>
      <c r="G141">
        <v>2.8000000000000001E-2</v>
      </c>
      <c r="H141">
        <f t="shared" si="17"/>
        <v>1.2189623938216427</v>
      </c>
      <c r="I141">
        <f t="shared" si="12"/>
        <v>2.1600000000000008E-2</v>
      </c>
      <c r="J141">
        <f t="shared" si="13"/>
        <v>1.0218349687252499</v>
      </c>
      <c r="K141">
        <f t="shared" si="14"/>
        <v>0.37440000000000001</v>
      </c>
      <c r="L141">
        <f t="shared" si="15"/>
        <v>1.4541186816155132</v>
      </c>
      <c r="N141" t="s">
        <v>260</v>
      </c>
    </row>
    <row r="142" spans="1:14" x14ac:dyDescent="0.3">
      <c r="A142" t="s">
        <v>234</v>
      </c>
      <c r="B142" t="str">
        <f t="shared" si="16"/>
        <v>Child in household: Missing (Ref: No child)</v>
      </c>
      <c r="C142" t="s">
        <v>223</v>
      </c>
      <c r="D142">
        <v>-0.28999999999999998</v>
      </c>
      <c r="E142">
        <v>0.25</v>
      </c>
      <c r="F142">
        <v>-1.161</v>
      </c>
      <c r="G142">
        <v>0.245</v>
      </c>
      <c r="H142">
        <f t="shared" si="17"/>
        <v>0.74826356757856527</v>
      </c>
      <c r="I142">
        <f t="shared" si="12"/>
        <v>-0.78</v>
      </c>
      <c r="J142">
        <f t="shared" si="13"/>
        <v>0.45840601130522352</v>
      </c>
      <c r="K142">
        <f t="shared" si="14"/>
        <v>0.2</v>
      </c>
      <c r="L142">
        <f t="shared" si="15"/>
        <v>1.2214027581601699</v>
      </c>
      <c r="N142" t="s">
        <v>261</v>
      </c>
    </row>
    <row r="143" spans="1:14" x14ac:dyDescent="0.3">
      <c r="A143" t="s">
        <v>234</v>
      </c>
      <c r="B143" t="str">
        <f t="shared" si="16"/>
        <v>Income: Low tertile</v>
      </c>
      <c r="C143" t="s">
        <v>223</v>
      </c>
      <c r="D143">
        <v>0.19700000000000001</v>
      </c>
      <c r="E143">
        <v>9.4E-2</v>
      </c>
      <c r="F143">
        <v>2.0910000000000002</v>
      </c>
      <c r="G143">
        <v>3.6999999999999998E-2</v>
      </c>
      <c r="H143">
        <f t="shared" si="17"/>
        <v>1.2177440407059084</v>
      </c>
      <c r="I143">
        <f t="shared" si="12"/>
        <v>1.2760000000000021E-2</v>
      </c>
      <c r="J143">
        <f t="shared" si="13"/>
        <v>1.0128417561661529</v>
      </c>
      <c r="K143">
        <f t="shared" si="14"/>
        <v>0.38124000000000002</v>
      </c>
      <c r="L143">
        <f t="shared" si="15"/>
        <v>1.4640989469943306</v>
      </c>
      <c r="N143" t="s">
        <v>246</v>
      </c>
    </row>
    <row r="144" spans="1:14" x14ac:dyDescent="0.3">
      <c r="A144" t="s">
        <v>234</v>
      </c>
      <c r="B144" t="str">
        <f t="shared" si="16"/>
        <v>Income: High tertile</v>
      </c>
      <c r="C144" t="s">
        <v>223</v>
      </c>
      <c r="D144">
        <v>-0.30499999999999999</v>
      </c>
      <c r="E144">
        <v>9.2999999999999999E-2</v>
      </c>
      <c r="F144">
        <v>-3.27</v>
      </c>
      <c r="G144">
        <v>1E-3</v>
      </c>
      <c r="H144">
        <f t="shared" si="17"/>
        <v>0.73712337439162778</v>
      </c>
      <c r="I144">
        <f t="shared" si="12"/>
        <v>-0.48727999999999999</v>
      </c>
      <c r="J144">
        <f t="shared" si="13"/>
        <v>0.61429500626026601</v>
      </c>
      <c r="K144">
        <f t="shared" si="14"/>
        <v>-0.12272</v>
      </c>
      <c r="L144">
        <f t="shared" si="15"/>
        <v>0.88451129105270887</v>
      </c>
      <c r="N144" t="s">
        <v>245</v>
      </c>
    </row>
    <row r="145" spans="1:14" x14ac:dyDescent="0.3">
      <c r="A145" t="s">
        <v>234</v>
      </c>
      <c r="B145" t="str">
        <f t="shared" si="16"/>
        <v>Income: Missing (Ref: Medium)</v>
      </c>
      <c r="C145" s="75" t="s">
        <v>223</v>
      </c>
      <c r="D145" s="75">
        <v>0.81499999999999995</v>
      </c>
      <c r="E145" s="75">
        <v>0.154</v>
      </c>
      <c r="F145" s="75">
        <v>5.3</v>
      </c>
      <c r="G145" s="75">
        <v>0</v>
      </c>
      <c r="H145">
        <f t="shared" si="17"/>
        <v>2.2591756723497012</v>
      </c>
      <c r="I145">
        <f t="shared" si="12"/>
        <v>0.51315999999999995</v>
      </c>
      <c r="J145">
        <f t="shared" si="13"/>
        <v>1.6705618383526206</v>
      </c>
      <c r="K145">
        <f t="shared" si="14"/>
        <v>1.1168399999999998</v>
      </c>
      <c r="L145">
        <f t="shared" si="15"/>
        <v>3.0551845501090655</v>
      </c>
      <c r="N145" t="s">
        <v>258</v>
      </c>
    </row>
    <row r="146" spans="1:14" x14ac:dyDescent="0.3">
      <c r="A146" t="s">
        <v>229</v>
      </c>
      <c r="B146" t="str">
        <f t="shared" si="16"/>
        <v>Household member (Ref: Anchor)</v>
      </c>
      <c r="C146" t="s">
        <v>224</v>
      </c>
      <c r="D146">
        <v>-0.28299999999999997</v>
      </c>
      <c r="E146">
        <v>0.27</v>
      </c>
      <c r="F146">
        <v>-1.046</v>
      </c>
      <c r="G146">
        <v>0.29499999999999998</v>
      </c>
      <c r="H146">
        <f t="shared" si="17"/>
        <v>0.75351978785971729</v>
      </c>
      <c r="I146">
        <f t="shared" si="12"/>
        <v>-0.81220000000000003</v>
      </c>
      <c r="J146">
        <f t="shared" si="13"/>
        <v>0.44388045424473016</v>
      </c>
      <c r="K146">
        <f t="shared" si="14"/>
        <v>0.24620000000000003</v>
      </c>
      <c r="L146">
        <f t="shared" si="15"/>
        <v>1.2791553790361434</v>
      </c>
      <c r="N146" t="s">
        <v>254</v>
      </c>
    </row>
    <row r="147" spans="1:14" x14ac:dyDescent="0.3">
      <c r="A147" t="s">
        <v>229</v>
      </c>
      <c r="B147" t="str">
        <f t="shared" si="16"/>
        <v>Age: Young tertile (Ref: Medium)</v>
      </c>
      <c r="C147" t="s">
        <v>224</v>
      </c>
      <c r="D147">
        <v>-0.31</v>
      </c>
      <c r="E147">
        <v>0.48799999999999999</v>
      </c>
      <c r="F147">
        <v>-0.63600000000000001</v>
      </c>
      <c r="G147">
        <v>0.52500000000000002</v>
      </c>
      <c r="H147">
        <f t="shared" si="17"/>
        <v>0.73344695622428924</v>
      </c>
      <c r="I147">
        <f t="shared" si="12"/>
        <v>-1.2664800000000001</v>
      </c>
      <c r="J147">
        <f t="shared" si="13"/>
        <v>0.28182189093827537</v>
      </c>
      <c r="K147">
        <f t="shared" si="14"/>
        <v>0.64647999999999994</v>
      </c>
      <c r="L147">
        <f t="shared" si="15"/>
        <v>1.9088099785424228</v>
      </c>
      <c r="N147" t="s">
        <v>244</v>
      </c>
    </row>
    <row r="148" spans="1:14" x14ac:dyDescent="0.3">
      <c r="A148" t="s">
        <v>229</v>
      </c>
      <c r="B148" t="str">
        <f t="shared" si="16"/>
        <v>Age: Old tertile</v>
      </c>
      <c r="C148" t="s">
        <v>224</v>
      </c>
      <c r="D148">
        <v>0.96899999999999997</v>
      </c>
      <c r="E148">
        <v>0.316</v>
      </c>
      <c r="F148">
        <v>3.0649999999999999</v>
      </c>
      <c r="G148">
        <v>2E-3</v>
      </c>
      <c r="H148">
        <f t="shared" si="17"/>
        <v>2.6353078334274804</v>
      </c>
      <c r="I148">
        <f t="shared" si="12"/>
        <v>0.34963999999999995</v>
      </c>
      <c r="J148">
        <f t="shared" si="13"/>
        <v>1.4185567762203071</v>
      </c>
      <c r="K148">
        <f t="shared" si="14"/>
        <v>1.58836</v>
      </c>
      <c r="L148">
        <f t="shared" si="15"/>
        <v>4.8957133710421763</v>
      </c>
      <c r="N148" t="s">
        <v>251</v>
      </c>
    </row>
    <row r="149" spans="1:14" x14ac:dyDescent="0.3">
      <c r="A149" t="s">
        <v>229</v>
      </c>
      <c r="B149" t="str">
        <f t="shared" si="16"/>
        <v>Gender: Female (Ref: Not female</v>
      </c>
      <c r="C149" t="s">
        <v>224</v>
      </c>
      <c r="D149">
        <v>-0.124</v>
      </c>
      <c r="E149">
        <v>0.245</v>
      </c>
      <c r="F149">
        <v>-0.505</v>
      </c>
      <c r="G149">
        <v>0.61299999999999999</v>
      </c>
      <c r="H149">
        <f t="shared" si="17"/>
        <v>0.8833798408827509</v>
      </c>
      <c r="I149">
        <f t="shared" si="12"/>
        <v>-0.60419999999999996</v>
      </c>
      <c r="J149">
        <f t="shared" si="13"/>
        <v>0.54651146097144543</v>
      </c>
      <c r="K149">
        <f t="shared" si="14"/>
        <v>0.35619999999999996</v>
      </c>
      <c r="L149">
        <f t="shared" si="15"/>
        <v>1.4278930983275522</v>
      </c>
      <c r="N149" t="s">
        <v>114</v>
      </c>
    </row>
    <row r="150" spans="1:14" x14ac:dyDescent="0.3">
      <c r="A150" t="s">
        <v>229</v>
      </c>
      <c r="B150" t="str">
        <f t="shared" si="16"/>
        <v>Migration (Ref: No)</v>
      </c>
      <c r="C150" t="s">
        <v>224</v>
      </c>
      <c r="D150">
        <v>-0.253</v>
      </c>
      <c r="E150">
        <v>0.36399999999999999</v>
      </c>
      <c r="F150">
        <v>-0.69499999999999995</v>
      </c>
      <c r="G150">
        <v>0.48699999999999999</v>
      </c>
      <c r="H150">
        <f t="shared" si="17"/>
        <v>0.77646788182373783</v>
      </c>
      <c r="I150">
        <f t="shared" si="12"/>
        <v>-0.96643999999999997</v>
      </c>
      <c r="J150">
        <f t="shared" si="13"/>
        <v>0.3804349787455607</v>
      </c>
      <c r="K150">
        <f t="shared" si="14"/>
        <v>0.46043999999999996</v>
      </c>
      <c r="L150">
        <f t="shared" si="15"/>
        <v>1.5847711309087331</v>
      </c>
      <c r="N150" t="s">
        <v>253</v>
      </c>
    </row>
    <row r="151" spans="1:14" x14ac:dyDescent="0.3">
      <c r="A151" t="s">
        <v>229</v>
      </c>
      <c r="B151" t="str">
        <f t="shared" si="16"/>
        <v>Education: Tertiary (Ref: Non-tert.)</v>
      </c>
      <c r="C151" t="s">
        <v>224</v>
      </c>
      <c r="D151">
        <v>1.0999999999999999E-2</v>
      </c>
      <c r="E151">
        <v>0.26700000000000002</v>
      </c>
      <c r="F151">
        <v>0.04</v>
      </c>
      <c r="G151">
        <v>0.96799999999999997</v>
      </c>
      <c r="H151">
        <f t="shared" si="17"/>
        <v>1.0110607224447195</v>
      </c>
      <c r="I151">
        <f t="shared" si="12"/>
        <v>-0.51232</v>
      </c>
      <c r="J151">
        <f t="shared" si="13"/>
        <v>0.59910404387409955</v>
      </c>
      <c r="K151">
        <f t="shared" si="14"/>
        <v>0.53432000000000002</v>
      </c>
      <c r="L151">
        <f t="shared" si="15"/>
        <v>1.7062875721220481</v>
      </c>
      <c r="N151" t="s">
        <v>252</v>
      </c>
    </row>
    <row r="152" spans="1:14" x14ac:dyDescent="0.3">
      <c r="A152" t="s">
        <v>229</v>
      </c>
      <c r="B152" t="str">
        <f t="shared" si="16"/>
        <v>Education: Missing</v>
      </c>
      <c r="C152" t="s">
        <v>224</v>
      </c>
      <c r="D152">
        <v>0.875</v>
      </c>
      <c r="E152">
        <v>0.46200000000000002</v>
      </c>
      <c r="F152">
        <v>1.895</v>
      </c>
      <c r="G152">
        <v>5.8000000000000003E-2</v>
      </c>
      <c r="H152">
        <f t="shared" si="17"/>
        <v>2.3988752939670981</v>
      </c>
      <c r="I152">
        <f t="shared" si="12"/>
        <v>-3.0519999999999992E-2</v>
      </c>
      <c r="J152">
        <f t="shared" si="13"/>
        <v>0.96994103305255996</v>
      </c>
      <c r="K152">
        <f t="shared" si="14"/>
        <v>1.7805200000000001</v>
      </c>
      <c r="L152">
        <f t="shared" si="15"/>
        <v>5.9329407457843839</v>
      </c>
      <c r="N152" t="s">
        <v>250</v>
      </c>
    </row>
    <row r="153" spans="1:14" x14ac:dyDescent="0.3">
      <c r="A153" t="s">
        <v>229</v>
      </c>
      <c r="B153" t="str">
        <f t="shared" si="16"/>
        <v>Employment: Part-time</v>
      </c>
      <c r="C153" t="s">
        <v>224</v>
      </c>
      <c r="D153">
        <v>0.48499999999999999</v>
      </c>
      <c r="E153">
        <v>0.376</v>
      </c>
      <c r="F153">
        <v>1.29</v>
      </c>
      <c r="G153">
        <v>0.19700000000000001</v>
      </c>
      <c r="H153">
        <f t="shared" si="17"/>
        <v>1.6241750088442293</v>
      </c>
      <c r="I153">
        <f t="shared" si="12"/>
        <v>-0.25195999999999996</v>
      </c>
      <c r="J153">
        <f t="shared" si="13"/>
        <v>0.77727582848027299</v>
      </c>
      <c r="K153">
        <f t="shared" si="14"/>
        <v>1.2219599999999999</v>
      </c>
      <c r="L153">
        <f t="shared" si="15"/>
        <v>3.3938331319421731</v>
      </c>
      <c r="N153" t="s">
        <v>248</v>
      </c>
    </row>
    <row r="154" spans="1:14" x14ac:dyDescent="0.3">
      <c r="A154" t="s">
        <v>229</v>
      </c>
      <c r="B154" t="str">
        <f t="shared" si="16"/>
        <v>Employment: None</v>
      </c>
      <c r="C154" t="s">
        <v>224</v>
      </c>
      <c r="D154">
        <v>0.34</v>
      </c>
      <c r="E154">
        <v>0.436</v>
      </c>
      <c r="F154">
        <v>0.78</v>
      </c>
      <c r="G154">
        <v>0.436</v>
      </c>
      <c r="H154">
        <f t="shared" si="17"/>
        <v>1.4049475905635938</v>
      </c>
      <c r="I154">
        <f t="shared" si="12"/>
        <v>-0.51455999999999991</v>
      </c>
      <c r="J154">
        <f t="shared" si="13"/>
        <v>0.59776355272641102</v>
      </c>
      <c r="K154">
        <f t="shared" si="14"/>
        <v>1.1945600000000001</v>
      </c>
      <c r="L154">
        <f t="shared" si="15"/>
        <v>3.3021045248201464</v>
      </c>
      <c r="N154" t="s">
        <v>249</v>
      </c>
    </row>
    <row r="155" spans="1:14" x14ac:dyDescent="0.3">
      <c r="A155" t="s">
        <v>229</v>
      </c>
      <c r="B155" t="str">
        <f t="shared" si="16"/>
        <v>Employment: Retired (Ref: Full)</v>
      </c>
      <c r="C155" t="s">
        <v>224</v>
      </c>
      <c r="D155">
        <v>0.44</v>
      </c>
      <c r="E155">
        <v>0.36299999999999999</v>
      </c>
      <c r="F155">
        <v>1.2130000000000001</v>
      </c>
      <c r="G155">
        <v>0.22500000000000001</v>
      </c>
      <c r="H155">
        <f t="shared" si="17"/>
        <v>1.552707218511336</v>
      </c>
      <c r="I155">
        <f t="shared" si="12"/>
        <v>-0.27148</v>
      </c>
      <c r="J155">
        <f t="shared" si="13"/>
        <v>0.76225052832615647</v>
      </c>
      <c r="K155">
        <f t="shared" si="14"/>
        <v>1.1514800000000001</v>
      </c>
      <c r="L155">
        <f t="shared" si="15"/>
        <v>3.1628704957559823</v>
      </c>
      <c r="N155" t="s">
        <v>256</v>
      </c>
    </row>
    <row r="156" spans="1:14" x14ac:dyDescent="0.3">
      <c r="A156" t="s">
        <v>229</v>
      </c>
      <c r="B156" t="str">
        <f t="shared" si="16"/>
        <v>Employment: Missing</v>
      </c>
      <c r="C156" t="s">
        <v>224</v>
      </c>
      <c r="D156">
        <v>1.516</v>
      </c>
      <c r="E156">
        <v>0.82</v>
      </c>
      <c r="F156">
        <v>1.849</v>
      </c>
      <c r="G156">
        <v>6.4000000000000001E-2</v>
      </c>
      <c r="H156">
        <f t="shared" si="17"/>
        <v>4.5539728234414811</v>
      </c>
      <c r="I156">
        <f t="shared" si="12"/>
        <v>-9.1199999999999948E-2</v>
      </c>
      <c r="J156">
        <f t="shared" si="13"/>
        <v>0.91283512561622293</v>
      </c>
      <c r="K156">
        <f t="shared" si="14"/>
        <v>3.1231999999999998</v>
      </c>
      <c r="L156">
        <f t="shared" si="15"/>
        <v>22.718964131275758</v>
      </c>
      <c r="N156" t="s">
        <v>247</v>
      </c>
    </row>
    <row r="157" spans="1:14" x14ac:dyDescent="0.3">
      <c r="A157" t="s">
        <v>229</v>
      </c>
      <c r="B157" t="str">
        <f t="shared" si="16"/>
        <v>Child in household</v>
      </c>
      <c r="C157" t="s">
        <v>224</v>
      </c>
      <c r="D157">
        <v>-0.503</v>
      </c>
      <c r="E157">
        <v>0.56899999999999995</v>
      </c>
      <c r="F157">
        <v>-0.88400000000000001</v>
      </c>
      <c r="G157">
        <v>0.377</v>
      </c>
      <c r="H157">
        <f t="shared" si="17"/>
        <v>0.60471379439412209</v>
      </c>
      <c r="I157">
        <f t="shared" si="12"/>
        <v>-1.6182399999999997</v>
      </c>
      <c r="J157">
        <f t="shared" si="13"/>
        <v>0.19824730747940275</v>
      </c>
      <c r="K157">
        <f t="shared" si="14"/>
        <v>0.61223999999999978</v>
      </c>
      <c r="L157">
        <f t="shared" si="15"/>
        <v>1.8445585858386975</v>
      </c>
      <c r="N157" t="s">
        <v>260</v>
      </c>
    </row>
    <row r="158" spans="1:14" x14ac:dyDescent="0.3">
      <c r="A158" t="s">
        <v>229</v>
      </c>
      <c r="B158" t="str">
        <f t="shared" si="16"/>
        <v>Child in household: Missing (Ref: No child)</v>
      </c>
      <c r="C158" t="s">
        <v>224</v>
      </c>
      <c r="D158">
        <v>-2.5000000000000001E-2</v>
      </c>
      <c r="E158">
        <v>0.25</v>
      </c>
      <c r="F158">
        <v>-9.8000000000000004E-2</v>
      </c>
      <c r="G158">
        <v>0.92200000000000004</v>
      </c>
      <c r="H158">
        <f t="shared" si="17"/>
        <v>0.97530991202833262</v>
      </c>
      <c r="I158">
        <f t="shared" si="12"/>
        <v>-0.51500000000000001</v>
      </c>
      <c r="J158">
        <f t="shared" si="13"/>
        <v>0.59750059461823746</v>
      </c>
      <c r="K158">
        <f t="shared" si="14"/>
        <v>0.46499999999999997</v>
      </c>
      <c r="L158">
        <f t="shared" si="15"/>
        <v>1.5920141888871011</v>
      </c>
      <c r="N158" t="s">
        <v>261</v>
      </c>
    </row>
    <row r="159" spans="1:14" x14ac:dyDescent="0.3">
      <c r="A159" t="s">
        <v>229</v>
      </c>
      <c r="B159" t="str">
        <f t="shared" si="16"/>
        <v>Income: Low tertile</v>
      </c>
      <c r="C159" t="s">
        <v>224</v>
      </c>
      <c r="D159">
        <v>18.184999999999999</v>
      </c>
      <c r="E159">
        <v>0.70299999999999996</v>
      </c>
      <c r="F159">
        <v>25.866</v>
      </c>
      <c r="G159">
        <v>0</v>
      </c>
      <c r="H159">
        <f t="shared" si="17"/>
        <v>79003285.644251332</v>
      </c>
      <c r="I159">
        <f t="shared" si="12"/>
        <v>16.807119999999998</v>
      </c>
      <c r="J159">
        <f t="shared" si="13"/>
        <v>19917713.113676444</v>
      </c>
      <c r="K159">
        <f t="shared" si="14"/>
        <v>19.56288</v>
      </c>
      <c r="L159">
        <f t="shared" si="15"/>
        <v>313365249.66319788</v>
      </c>
      <c r="N159" t="s">
        <v>246</v>
      </c>
    </row>
    <row r="160" spans="1:14" x14ac:dyDescent="0.3">
      <c r="A160" t="s">
        <v>229</v>
      </c>
      <c r="B160" t="str">
        <f t="shared" si="16"/>
        <v>Income: High tertile</v>
      </c>
      <c r="C160" t="s">
        <v>224</v>
      </c>
      <c r="D160">
        <v>-5.1159999999999997</v>
      </c>
      <c r="E160">
        <v>8.7999999999999995E-2</v>
      </c>
      <c r="F160">
        <v>-58.374000000000002</v>
      </c>
      <c r="G160">
        <v>0</v>
      </c>
      <c r="H160">
        <f t="shared" si="17"/>
        <v>5.9999748585771685E-3</v>
      </c>
      <c r="I160">
        <f t="shared" si="12"/>
        <v>-5.2884799999999998</v>
      </c>
      <c r="J160">
        <f t="shared" si="13"/>
        <v>5.0494295624792327E-3</v>
      </c>
      <c r="K160">
        <f t="shared" si="14"/>
        <v>-4.9435199999999995</v>
      </c>
      <c r="L160">
        <f t="shared" si="15"/>
        <v>7.129458458250585E-3</v>
      </c>
      <c r="N160" t="s">
        <v>245</v>
      </c>
    </row>
    <row r="161" spans="1:14" x14ac:dyDescent="0.3">
      <c r="A161" t="s">
        <v>229</v>
      </c>
      <c r="B161" t="str">
        <f t="shared" si="16"/>
        <v>Income: Missing (Ref: Medium)</v>
      </c>
      <c r="C161" t="s">
        <v>224</v>
      </c>
      <c r="D161">
        <v>21.167999999999999</v>
      </c>
      <c r="E161">
        <v>0.124</v>
      </c>
      <c r="F161">
        <v>171.102</v>
      </c>
      <c r="G161">
        <v>0</v>
      </c>
      <c r="H161">
        <f t="shared" si="17"/>
        <v>1560075415.0185761</v>
      </c>
      <c r="I161">
        <f t="shared" si="12"/>
        <v>20.924959999999999</v>
      </c>
      <c r="J161">
        <f t="shared" si="13"/>
        <v>1223473767.4049189</v>
      </c>
      <c r="K161">
        <f t="shared" si="14"/>
        <v>21.41104</v>
      </c>
      <c r="L161">
        <f t="shared" si="15"/>
        <v>1989282782.6686735</v>
      </c>
      <c r="N161" t="s">
        <v>258</v>
      </c>
    </row>
    <row r="162" spans="1:14" x14ac:dyDescent="0.3">
      <c r="A162" t="s">
        <v>229</v>
      </c>
      <c r="B162" t="str">
        <f t="shared" si="16"/>
        <v>Household member (Ref: Anchor)</v>
      </c>
      <c r="C162" t="s">
        <v>225</v>
      </c>
      <c r="D162">
        <v>-0.33</v>
      </c>
      <c r="E162">
        <v>0.27600000000000002</v>
      </c>
      <c r="F162">
        <v>-1.1950000000000001</v>
      </c>
      <c r="G162">
        <v>0.23200000000000001</v>
      </c>
      <c r="H162">
        <f t="shared" si="17"/>
        <v>0.71892373343192617</v>
      </c>
      <c r="I162">
        <f t="shared" si="12"/>
        <v>-0.87095999999999996</v>
      </c>
      <c r="J162">
        <f t="shared" si="13"/>
        <v>0.41854954875147304</v>
      </c>
      <c r="K162">
        <f t="shared" si="14"/>
        <v>0.21095999999999998</v>
      </c>
      <c r="L162">
        <f t="shared" si="15"/>
        <v>1.2348629595551086</v>
      </c>
      <c r="N162" t="s">
        <v>254</v>
      </c>
    </row>
    <row r="163" spans="1:14" x14ac:dyDescent="0.3">
      <c r="A163" t="s">
        <v>229</v>
      </c>
      <c r="B163" t="str">
        <f t="shared" si="16"/>
        <v>Age: Young tertile (Ref: Medium)</v>
      </c>
      <c r="C163" t="s">
        <v>225</v>
      </c>
      <c r="D163">
        <v>-0.81599999999999995</v>
      </c>
      <c r="E163">
        <v>0.497</v>
      </c>
      <c r="F163">
        <v>-1.6419999999999999</v>
      </c>
      <c r="G163">
        <v>0.10100000000000001</v>
      </c>
      <c r="H163">
        <f t="shared" si="17"/>
        <v>0.44219690927989869</v>
      </c>
      <c r="I163">
        <f t="shared" si="12"/>
        <v>-1.7901199999999999</v>
      </c>
      <c r="J163">
        <f t="shared" si="13"/>
        <v>0.1669401356487458</v>
      </c>
      <c r="K163">
        <f t="shared" si="14"/>
        <v>0.15812000000000004</v>
      </c>
      <c r="L163">
        <f t="shared" si="15"/>
        <v>1.1713067430837683</v>
      </c>
      <c r="N163" t="s">
        <v>244</v>
      </c>
    </row>
    <row r="164" spans="1:14" x14ac:dyDescent="0.3">
      <c r="A164" t="s">
        <v>229</v>
      </c>
      <c r="B164" t="str">
        <f t="shared" si="16"/>
        <v>Age: Old tertile</v>
      </c>
      <c r="C164" t="s">
        <v>225</v>
      </c>
      <c r="D164">
        <v>0.79400000000000004</v>
      </c>
      <c r="E164">
        <v>0.31900000000000001</v>
      </c>
      <c r="F164">
        <v>2.4929999999999999</v>
      </c>
      <c r="G164">
        <v>1.2999999999999999E-2</v>
      </c>
      <c r="H164">
        <f t="shared" si="17"/>
        <v>2.2122276626587873</v>
      </c>
      <c r="I164">
        <f t="shared" si="12"/>
        <v>0.16876000000000002</v>
      </c>
      <c r="J164">
        <f t="shared" si="13"/>
        <v>1.1838359841905597</v>
      </c>
      <c r="K164">
        <f t="shared" si="14"/>
        <v>1.4192400000000001</v>
      </c>
      <c r="L164">
        <f t="shared" si="15"/>
        <v>4.1339774232145601</v>
      </c>
      <c r="N164" t="s">
        <v>251</v>
      </c>
    </row>
    <row r="165" spans="1:14" x14ac:dyDescent="0.3">
      <c r="A165" t="s">
        <v>229</v>
      </c>
      <c r="B165" t="str">
        <f t="shared" si="16"/>
        <v>Gender: Female (Ref: Not female</v>
      </c>
      <c r="C165" t="s">
        <v>225</v>
      </c>
      <c r="D165">
        <v>-0.29799999999999999</v>
      </c>
      <c r="E165">
        <v>0.25</v>
      </c>
      <c r="F165">
        <v>-1.1930000000000001</v>
      </c>
      <c r="G165">
        <v>0.23300000000000001</v>
      </c>
      <c r="H165">
        <f t="shared" si="17"/>
        <v>0.74230133974777435</v>
      </c>
      <c r="I165">
        <f t="shared" si="12"/>
        <v>-0.78800000000000003</v>
      </c>
      <c r="J165">
        <f t="shared" si="13"/>
        <v>0.45475339316794017</v>
      </c>
      <c r="K165">
        <f t="shared" si="14"/>
        <v>0.192</v>
      </c>
      <c r="L165">
        <f t="shared" si="15"/>
        <v>1.2116705169649005</v>
      </c>
      <c r="N165" t="s">
        <v>114</v>
      </c>
    </row>
    <row r="166" spans="1:14" x14ac:dyDescent="0.3">
      <c r="A166" t="s">
        <v>229</v>
      </c>
      <c r="B166" t="str">
        <f t="shared" si="16"/>
        <v>Migration (Ref: No)</v>
      </c>
      <c r="C166" t="s">
        <v>225</v>
      </c>
      <c r="D166">
        <v>-0.21299999999999999</v>
      </c>
      <c r="E166">
        <v>0.374</v>
      </c>
      <c r="F166">
        <v>-0.56999999999999995</v>
      </c>
      <c r="G166">
        <v>0.56899999999999995</v>
      </c>
      <c r="H166">
        <f t="shared" si="17"/>
        <v>0.80815613721648838</v>
      </c>
      <c r="I166">
        <f t="shared" si="12"/>
        <v>-0.94603999999999999</v>
      </c>
      <c r="J166">
        <f t="shared" si="13"/>
        <v>0.38827555427307747</v>
      </c>
      <c r="K166">
        <f t="shared" si="14"/>
        <v>0.52004000000000006</v>
      </c>
      <c r="L166">
        <f t="shared" si="15"/>
        <v>1.6820949321505145</v>
      </c>
      <c r="N166" t="s">
        <v>253</v>
      </c>
    </row>
    <row r="167" spans="1:14" x14ac:dyDescent="0.3">
      <c r="A167" t="s">
        <v>229</v>
      </c>
      <c r="B167" t="str">
        <f t="shared" si="16"/>
        <v>Education: Tertiary (Ref: Non-tert.)</v>
      </c>
      <c r="C167" t="s">
        <v>225</v>
      </c>
      <c r="D167">
        <v>-0.16500000000000001</v>
      </c>
      <c r="E167">
        <v>0.27100000000000002</v>
      </c>
      <c r="F167">
        <v>-0.61</v>
      </c>
      <c r="G167">
        <v>0.54200000000000004</v>
      </c>
      <c r="H167">
        <f t="shared" si="17"/>
        <v>0.84789370408791587</v>
      </c>
      <c r="I167">
        <f t="shared" si="12"/>
        <v>-0.69616000000000011</v>
      </c>
      <c r="J167">
        <f t="shared" si="13"/>
        <v>0.49849585727296553</v>
      </c>
      <c r="K167">
        <f t="shared" si="14"/>
        <v>0.36616000000000004</v>
      </c>
      <c r="L167">
        <f t="shared" si="15"/>
        <v>1.4421859739513523</v>
      </c>
      <c r="N167" t="s">
        <v>252</v>
      </c>
    </row>
    <row r="168" spans="1:14" x14ac:dyDescent="0.3">
      <c r="A168" t="s">
        <v>229</v>
      </c>
      <c r="B168" t="str">
        <f t="shared" si="16"/>
        <v>Education: Missing</v>
      </c>
      <c r="C168" t="s">
        <v>225</v>
      </c>
      <c r="D168">
        <v>1.292</v>
      </c>
      <c r="E168">
        <v>0.47099999999999997</v>
      </c>
      <c r="F168">
        <v>2.7450000000000001</v>
      </c>
      <c r="G168">
        <v>6.0000000000000001E-3</v>
      </c>
      <c r="H168">
        <f t="shared" si="17"/>
        <v>3.6400593992835644</v>
      </c>
      <c r="I168">
        <f t="shared" si="12"/>
        <v>0.36884000000000006</v>
      </c>
      <c r="J168">
        <f t="shared" si="13"/>
        <v>1.4460562161696457</v>
      </c>
      <c r="K168">
        <f t="shared" si="14"/>
        <v>2.21516</v>
      </c>
      <c r="L168">
        <f t="shared" si="15"/>
        <v>9.1628750543389543</v>
      </c>
      <c r="N168" t="s">
        <v>250</v>
      </c>
    </row>
    <row r="169" spans="1:14" x14ac:dyDescent="0.3">
      <c r="A169" t="s">
        <v>229</v>
      </c>
      <c r="B169" t="str">
        <f t="shared" si="16"/>
        <v>Employment: Part-time</v>
      </c>
      <c r="C169" t="s">
        <v>225</v>
      </c>
      <c r="D169">
        <v>0.56699999999999995</v>
      </c>
      <c r="E169">
        <v>0.38300000000000001</v>
      </c>
      <c r="F169">
        <v>1.4810000000000001</v>
      </c>
      <c r="G169">
        <v>0.13900000000000001</v>
      </c>
      <c r="H169">
        <f t="shared" si="17"/>
        <v>1.7629701995299278</v>
      </c>
      <c r="I169">
        <f t="shared" si="12"/>
        <v>-0.18368000000000007</v>
      </c>
      <c r="J169">
        <f t="shared" si="13"/>
        <v>0.83220206588355317</v>
      </c>
      <c r="K169">
        <f t="shared" si="14"/>
        <v>1.31768</v>
      </c>
      <c r="L169">
        <f t="shared" si="15"/>
        <v>3.7347467061749557</v>
      </c>
      <c r="N169" t="s">
        <v>248</v>
      </c>
    </row>
    <row r="170" spans="1:14" x14ac:dyDescent="0.3">
      <c r="A170" t="s">
        <v>229</v>
      </c>
      <c r="B170" t="str">
        <f t="shared" si="16"/>
        <v>Employment: None</v>
      </c>
      <c r="C170" t="s">
        <v>225</v>
      </c>
      <c r="D170">
        <v>0.01</v>
      </c>
      <c r="E170">
        <v>0.44500000000000001</v>
      </c>
      <c r="F170">
        <v>2.3E-2</v>
      </c>
      <c r="G170">
        <v>0.98199999999999998</v>
      </c>
      <c r="H170">
        <f t="shared" si="17"/>
        <v>1.0100501670841679</v>
      </c>
      <c r="I170">
        <f t="shared" si="12"/>
        <v>-0.86219999999999997</v>
      </c>
      <c r="J170">
        <f t="shared" si="13"/>
        <v>0.42223214903833023</v>
      </c>
      <c r="K170">
        <f t="shared" si="14"/>
        <v>0.88219999999999998</v>
      </c>
      <c r="L170">
        <f t="shared" si="15"/>
        <v>2.4162095244295148</v>
      </c>
      <c r="N170" t="s">
        <v>249</v>
      </c>
    </row>
    <row r="171" spans="1:14" x14ac:dyDescent="0.3">
      <c r="A171" t="s">
        <v>229</v>
      </c>
      <c r="B171" t="str">
        <f t="shared" si="16"/>
        <v>Employment: Retired (Ref: Full)</v>
      </c>
      <c r="C171" t="s">
        <v>225</v>
      </c>
      <c r="D171">
        <v>0.17100000000000001</v>
      </c>
      <c r="E171">
        <v>0.36499999999999999</v>
      </c>
      <c r="F171">
        <v>0.46700000000000003</v>
      </c>
      <c r="G171">
        <v>0.64</v>
      </c>
      <c r="H171">
        <f t="shared" si="17"/>
        <v>1.1864907490217118</v>
      </c>
      <c r="I171">
        <f t="shared" si="12"/>
        <v>-0.54439999999999988</v>
      </c>
      <c r="J171">
        <f t="shared" si="13"/>
        <v>0.5801897928022488</v>
      </c>
      <c r="K171">
        <f t="shared" si="14"/>
        <v>0.88639999999999997</v>
      </c>
      <c r="L171">
        <f t="shared" si="15"/>
        <v>2.426378945266833</v>
      </c>
      <c r="N171" t="s">
        <v>256</v>
      </c>
    </row>
    <row r="172" spans="1:14" x14ac:dyDescent="0.3">
      <c r="A172" t="s">
        <v>229</v>
      </c>
      <c r="B172" t="str">
        <f t="shared" si="16"/>
        <v>Employment: Missing</v>
      </c>
      <c r="C172" t="s">
        <v>225</v>
      </c>
      <c r="D172">
        <v>1.375</v>
      </c>
      <c r="E172">
        <v>0.89</v>
      </c>
      <c r="F172">
        <v>1.5449999999999999</v>
      </c>
      <c r="G172">
        <v>0.122</v>
      </c>
      <c r="H172">
        <f t="shared" si="17"/>
        <v>3.9550767229205772</v>
      </c>
      <c r="I172">
        <f t="shared" si="12"/>
        <v>-0.36939999999999995</v>
      </c>
      <c r="J172">
        <f t="shared" si="13"/>
        <v>0.6911488955927868</v>
      </c>
      <c r="K172">
        <f t="shared" si="14"/>
        <v>3.1193999999999997</v>
      </c>
      <c r="L172">
        <f t="shared" si="15"/>
        <v>22.632795890922672</v>
      </c>
      <c r="N172" t="s">
        <v>247</v>
      </c>
    </row>
    <row r="173" spans="1:14" x14ac:dyDescent="0.3">
      <c r="A173" t="s">
        <v>229</v>
      </c>
      <c r="B173" t="str">
        <f t="shared" si="16"/>
        <v>Child in household</v>
      </c>
      <c r="C173" t="s">
        <v>225</v>
      </c>
      <c r="D173">
        <v>-0.53600000000000003</v>
      </c>
      <c r="E173">
        <v>0.57399999999999995</v>
      </c>
      <c r="F173">
        <v>-0.93200000000000005</v>
      </c>
      <c r="G173">
        <v>0.35099999999999998</v>
      </c>
      <c r="H173">
        <f t="shared" si="17"/>
        <v>0.58508391359170686</v>
      </c>
      <c r="I173">
        <f t="shared" si="12"/>
        <v>-1.6610399999999998</v>
      </c>
      <c r="J173">
        <f t="shared" si="13"/>
        <v>0.18994133835373794</v>
      </c>
      <c r="K173">
        <f t="shared" si="14"/>
        <v>0.58903999999999979</v>
      </c>
      <c r="L173">
        <f t="shared" si="15"/>
        <v>1.8022574175309913</v>
      </c>
      <c r="N173" t="s">
        <v>260</v>
      </c>
    </row>
    <row r="174" spans="1:14" x14ac:dyDescent="0.3">
      <c r="A174" t="s">
        <v>229</v>
      </c>
      <c r="B174" t="str">
        <f t="shared" si="16"/>
        <v>Child in household: Missing (Ref: No child)</v>
      </c>
      <c r="C174" t="s">
        <v>225</v>
      </c>
      <c r="D174">
        <v>0</v>
      </c>
      <c r="E174">
        <v>0.27400000000000002</v>
      </c>
      <c r="F174">
        <v>-1E-3</v>
      </c>
      <c r="G174">
        <v>0.999</v>
      </c>
      <c r="H174">
        <f t="shared" si="17"/>
        <v>1</v>
      </c>
      <c r="I174">
        <f t="shared" si="12"/>
        <v>-0.53704000000000007</v>
      </c>
      <c r="J174">
        <f t="shared" si="13"/>
        <v>0.58447574262529056</v>
      </c>
      <c r="K174">
        <f t="shared" si="14"/>
        <v>0.53704000000000007</v>
      </c>
      <c r="L174">
        <f t="shared" si="15"/>
        <v>1.710934991943889</v>
      </c>
      <c r="N174" t="s">
        <v>261</v>
      </c>
    </row>
    <row r="175" spans="1:14" x14ac:dyDescent="0.3">
      <c r="A175" t="s">
        <v>229</v>
      </c>
      <c r="B175" t="str">
        <f t="shared" si="16"/>
        <v>Income: Low tertile</v>
      </c>
      <c r="C175" t="s">
        <v>225</v>
      </c>
      <c r="D175">
        <v>18.227</v>
      </c>
      <c r="E175">
        <v>0.71</v>
      </c>
      <c r="F175">
        <v>25.658000000000001</v>
      </c>
      <c r="G175">
        <v>0</v>
      </c>
      <c r="H175">
        <f t="shared" si="17"/>
        <v>82392090.401559278</v>
      </c>
      <c r="I175">
        <f t="shared" si="12"/>
        <v>16.8354</v>
      </c>
      <c r="J175">
        <f t="shared" si="13"/>
        <v>20489026.333927553</v>
      </c>
      <c r="K175">
        <f t="shared" si="14"/>
        <v>19.618600000000001</v>
      </c>
      <c r="L175">
        <f t="shared" si="15"/>
        <v>331321579.17615575</v>
      </c>
      <c r="N175" t="s">
        <v>246</v>
      </c>
    </row>
    <row r="176" spans="1:14" x14ac:dyDescent="0.3">
      <c r="A176" t="s">
        <v>229</v>
      </c>
      <c r="B176" t="str">
        <f t="shared" si="16"/>
        <v>Income: High tertile</v>
      </c>
      <c r="C176" t="s">
        <v>225</v>
      </c>
      <c r="D176">
        <v>-5.3120000000000003</v>
      </c>
      <c r="E176">
        <v>0</v>
      </c>
      <c r="F176">
        <v>999</v>
      </c>
      <c r="G176">
        <v>0</v>
      </c>
      <c r="H176">
        <f t="shared" si="17"/>
        <v>4.9320527415119518E-3</v>
      </c>
      <c r="I176">
        <f t="shared" si="12"/>
        <v>-5.3120000000000003</v>
      </c>
      <c r="J176">
        <f t="shared" si="13"/>
        <v>4.9320527415119518E-3</v>
      </c>
      <c r="K176">
        <f t="shared" si="14"/>
        <v>-5.3120000000000003</v>
      </c>
      <c r="L176">
        <f t="shared" si="15"/>
        <v>4.9320527415119518E-3</v>
      </c>
      <c r="N176" t="s">
        <v>245</v>
      </c>
    </row>
    <row r="177" spans="1:14" x14ac:dyDescent="0.3">
      <c r="A177" t="s">
        <v>229</v>
      </c>
      <c r="B177" t="str">
        <f t="shared" si="16"/>
        <v>Income: Missing (Ref: Medium)</v>
      </c>
      <c r="C177" t="s">
        <v>225</v>
      </c>
      <c r="D177">
        <v>21.684999999999999</v>
      </c>
      <c r="E177">
        <v>0</v>
      </c>
      <c r="F177">
        <v>999</v>
      </c>
      <c r="G177">
        <v>0</v>
      </c>
      <c r="H177">
        <f t="shared" si="17"/>
        <v>2616229510.3310513</v>
      </c>
      <c r="I177">
        <f t="shared" si="12"/>
        <v>21.684999999999999</v>
      </c>
      <c r="J177">
        <f t="shared" si="13"/>
        <v>2616229510.3310513</v>
      </c>
      <c r="K177">
        <f t="shared" si="14"/>
        <v>21.684999999999999</v>
      </c>
      <c r="L177">
        <f t="shared" si="15"/>
        <v>2616229510.3310513</v>
      </c>
      <c r="N177" t="s">
        <v>258</v>
      </c>
    </row>
    <row r="178" spans="1:14" x14ac:dyDescent="0.3">
      <c r="A178" t="s">
        <v>229</v>
      </c>
      <c r="B178" t="str">
        <f t="shared" si="16"/>
        <v>Household member (Ref: Anchor)</v>
      </c>
      <c r="C178" t="s">
        <v>223</v>
      </c>
      <c r="D178">
        <v>-4.7E-2</v>
      </c>
      <c r="E178">
        <v>6.8000000000000005E-2</v>
      </c>
      <c r="F178">
        <v>-0.69699999999999995</v>
      </c>
      <c r="G178">
        <v>0.48599999999999999</v>
      </c>
      <c r="H178">
        <f t="shared" si="17"/>
        <v>0.95408739759037109</v>
      </c>
      <c r="I178">
        <f t="shared" si="12"/>
        <v>-0.18028</v>
      </c>
      <c r="J178">
        <f t="shared" si="13"/>
        <v>0.83503636849161345</v>
      </c>
      <c r="K178">
        <f t="shared" si="14"/>
        <v>8.6280000000000009E-2</v>
      </c>
      <c r="L178">
        <f t="shared" si="15"/>
        <v>1.0901115168014497</v>
      </c>
      <c r="N178" t="s">
        <v>254</v>
      </c>
    </row>
    <row r="179" spans="1:14" x14ac:dyDescent="0.3">
      <c r="A179" t="s">
        <v>229</v>
      </c>
      <c r="B179" t="str">
        <f t="shared" si="16"/>
        <v>Age: Young tertile (Ref: Medium)</v>
      </c>
      <c r="C179" t="s">
        <v>223</v>
      </c>
      <c r="D179">
        <v>-0.50600000000000001</v>
      </c>
      <c r="E179">
        <v>0.09</v>
      </c>
      <c r="F179">
        <v>-5.6349999999999998</v>
      </c>
      <c r="G179">
        <v>0</v>
      </c>
      <c r="H179">
        <f t="shared" si="17"/>
        <v>0.60290237150384207</v>
      </c>
      <c r="I179">
        <f t="shared" si="12"/>
        <v>-0.68240000000000001</v>
      </c>
      <c r="J179">
        <f t="shared" si="13"/>
        <v>0.50540256947430462</v>
      </c>
      <c r="K179">
        <f t="shared" si="14"/>
        <v>-0.3296</v>
      </c>
      <c r="L179">
        <f t="shared" si="15"/>
        <v>0.71921136044686684</v>
      </c>
      <c r="N179" t="s">
        <v>244</v>
      </c>
    </row>
    <row r="180" spans="1:14" x14ac:dyDescent="0.3">
      <c r="A180" t="s">
        <v>229</v>
      </c>
      <c r="B180" t="str">
        <f t="shared" si="16"/>
        <v>Age: Old tertile</v>
      </c>
      <c r="C180" t="s">
        <v>223</v>
      </c>
      <c r="D180">
        <v>-0.17499999999999999</v>
      </c>
      <c r="E180">
        <v>0.108</v>
      </c>
      <c r="F180">
        <v>-1.617</v>
      </c>
      <c r="G180">
        <v>0.106</v>
      </c>
      <c r="H180">
        <f t="shared" si="17"/>
        <v>0.83945702076920736</v>
      </c>
      <c r="I180">
        <f t="shared" si="12"/>
        <v>-0.38668000000000002</v>
      </c>
      <c r="J180">
        <f t="shared" si="13"/>
        <v>0.67930843885018644</v>
      </c>
      <c r="K180">
        <f t="shared" si="14"/>
        <v>3.6680000000000018E-2</v>
      </c>
      <c r="L180">
        <f t="shared" si="15"/>
        <v>1.0373610121957049</v>
      </c>
      <c r="N180" t="s">
        <v>251</v>
      </c>
    </row>
    <row r="181" spans="1:14" x14ac:dyDescent="0.3">
      <c r="A181" t="s">
        <v>229</v>
      </c>
      <c r="B181" t="str">
        <f t="shared" si="16"/>
        <v>Gender: Female (Ref: Not female</v>
      </c>
      <c r="C181" t="s">
        <v>223</v>
      </c>
      <c r="D181">
        <v>-0.17399999999999999</v>
      </c>
      <c r="E181">
        <v>6.5000000000000002E-2</v>
      </c>
      <c r="F181">
        <v>-2.68</v>
      </c>
      <c r="G181">
        <v>7.0000000000000001E-3</v>
      </c>
      <c r="H181">
        <f t="shared" si="17"/>
        <v>0.84029689765843141</v>
      </c>
      <c r="I181">
        <f t="shared" si="12"/>
        <v>-0.3014</v>
      </c>
      <c r="J181">
        <f t="shared" si="13"/>
        <v>0.73978180083593736</v>
      </c>
      <c r="K181">
        <f t="shared" si="14"/>
        <v>-4.6599999999999975E-2</v>
      </c>
      <c r="L181">
        <f t="shared" si="15"/>
        <v>0.9544691088865771</v>
      </c>
      <c r="N181" t="s">
        <v>114</v>
      </c>
    </row>
    <row r="182" spans="1:14" x14ac:dyDescent="0.3">
      <c r="A182" t="s">
        <v>229</v>
      </c>
      <c r="B182" t="str">
        <f t="shared" si="16"/>
        <v>Migration (Ref: No)</v>
      </c>
      <c r="C182" t="s">
        <v>223</v>
      </c>
      <c r="D182">
        <v>0.04</v>
      </c>
      <c r="E182">
        <v>0.09</v>
      </c>
      <c r="F182">
        <v>0.442</v>
      </c>
      <c r="G182">
        <v>0.65900000000000003</v>
      </c>
      <c r="H182">
        <f t="shared" si="17"/>
        <v>1.0408107741923882</v>
      </c>
      <c r="I182">
        <f t="shared" si="12"/>
        <v>-0.13639999999999999</v>
      </c>
      <c r="J182">
        <f t="shared" si="13"/>
        <v>0.87249356525382504</v>
      </c>
      <c r="K182">
        <f t="shared" si="14"/>
        <v>0.21640000000000001</v>
      </c>
      <c r="L182">
        <f t="shared" si="15"/>
        <v>1.241598919253702</v>
      </c>
      <c r="N182" t="s">
        <v>253</v>
      </c>
    </row>
    <row r="183" spans="1:14" x14ac:dyDescent="0.3">
      <c r="A183" t="s">
        <v>229</v>
      </c>
      <c r="B183" t="str">
        <f t="shared" si="16"/>
        <v>Education: Tertiary (Ref: Non-tert.)</v>
      </c>
      <c r="C183" t="s">
        <v>223</v>
      </c>
      <c r="D183">
        <v>-0.17599999999999999</v>
      </c>
      <c r="E183">
        <v>6.9000000000000006E-2</v>
      </c>
      <c r="F183">
        <v>-2.5379999999999998</v>
      </c>
      <c r="G183">
        <v>1.0999999999999999E-2</v>
      </c>
      <c r="H183">
        <f t="shared" si="17"/>
        <v>0.83861798333707405</v>
      </c>
      <c r="I183">
        <f t="shared" si="12"/>
        <v>-0.31123999999999996</v>
      </c>
      <c r="J183">
        <f t="shared" si="13"/>
        <v>0.73253804563959546</v>
      </c>
      <c r="K183">
        <f t="shared" si="14"/>
        <v>-4.0759999999999991E-2</v>
      </c>
      <c r="L183">
        <f t="shared" si="15"/>
        <v>0.96005951658427691</v>
      </c>
      <c r="N183" t="s">
        <v>252</v>
      </c>
    </row>
    <row r="184" spans="1:14" x14ac:dyDescent="0.3">
      <c r="A184" t="s">
        <v>229</v>
      </c>
      <c r="B184" t="str">
        <f t="shared" si="16"/>
        <v>Education: Missing</v>
      </c>
      <c r="C184" t="s">
        <v>223</v>
      </c>
      <c r="D184">
        <v>0.41699999999999998</v>
      </c>
      <c r="E184">
        <v>0.182</v>
      </c>
      <c r="F184">
        <v>2.2829999999999999</v>
      </c>
      <c r="G184">
        <v>2.1999999999999999E-2</v>
      </c>
      <c r="H184">
        <f t="shared" si="17"/>
        <v>1.5174025129350848</v>
      </c>
      <c r="I184">
        <f t="shared" si="12"/>
        <v>6.028E-2</v>
      </c>
      <c r="J184">
        <f t="shared" si="13"/>
        <v>1.0621339024062701</v>
      </c>
      <c r="K184">
        <f t="shared" si="14"/>
        <v>0.77371999999999996</v>
      </c>
      <c r="L184">
        <f t="shared" si="15"/>
        <v>2.1678155466512838</v>
      </c>
      <c r="N184" t="s">
        <v>250</v>
      </c>
    </row>
    <row r="185" spans="1:14" x14ac:dyDescent="0.3">
      <c r="A185" t="s">
        <v>229</v>
      </c>
      <c r="B185" t="str">
        <f t="shared" si="16"/>
        <v>Employment: Part-time</v>
      </c>
      <c r="C185" t="s">
        <v>223</v>
      </c>
      <c r="D185">
        <v>8.3000000000000004E-2</v>
      </c>
      <c r="E185">
        <v>9.4E-2</v>
      </c>
      <c r="F185">
        <v>0.88</v>
      </c>
      <c r="G185">
        <v>0.379</v>
      </c>
      <c r="H185">
        <f t="shared" si="17"/>
        <v>1.0865418085482381</v>
      </c>
      <c r="I185">
        <f t="shared" si="12"/>
        <v>-0.10123999999999998</v>
      </c>
      <c r="J185">
        <f t="shared" si="13"/>
        <v>0.90371611498916027</v>
      </c>
      <c r="K185">
        <f t="shared" si="14"/>
        <v>0.26723999999999998</v>
      </c>
      <c r="L185">
        <f t="shared" si="15"/>
        <v>1.3063539336547478</v>
      </c>
      <c r="N185" t="s">
        <v>248</v>
      </c>
    </row>
    <row r="186" spans="1:14" x14ac:dyDescent="0.3">
      <c r="A186" t="s">
        <v>229</v>
      </c>
      <c r="B186" t="str">
        <f t="shared" si="16"/>
        <v>Employment: None</v>
      </c>
      <c r="C186" t="s">
        <v>223</v>
      </c>
      <c r="D186">
        <v>-0.33</v>
      </c>
      <c r="E186">
        <v>0.12</v>
      </c>
      <c r="F186">
        <v>-2.7559999999999998</v>
      </c>
      <c r="G186">
        <v>6.0000000000000001E-3</v>
      </c>
      <c r="H186">
        <f t="shared" si="17"/>
        <v>0.71892373343192617</v>
      </c>
      <c r="I186">
        <f t="shared" si="12"/>
        <v>-0.56520000000000004</v>
      </c>
      <c r="J186">
        <f t="shared" si="13"/>
        <v>0.56824648609463413</v>
      </c>
      <c r="K186">
        <f t="shared" si="14"/>
        <v>-9.4800000000000023E-2</v>
      </c>
      <c r="L186">
        <f t="shared" si="15"/>
        <v>0.90955482724379633</v>
      </c>
      <c r="N186" t="s">
        <v>249</v>
      </c>
    </row>
    <row r="187" spans="1:14" x14ac:dyDescent="0.3">
      <c r="A187" t="s">
        <v>229</v>
      </c>
      <c r="B187" t="str">
        <f t="shared" si="16"/>
        <v>Employment: Retired (Ref: Full)</v>
      </c>
      <c r="C187" t="s">
        <v>223</v>
      </c>
      <c r="D187">
        <v>-0.26900000000000002</v>
      </c>
      <c r="E187">
        <v>0.11600000000000001</v>
      </c>
      <c r="F187">
        <v>-2.327</v>
      </c>
      <c r="G187">
        <v>0.02</v>
      </c>
      <c r="H187">
        <f t="shared" si="17"/>
        <v>0.76414325564819896</v>
      </c>
      <c r="I187">
        <f t="shared" si="12"/>
        <v>-0.49636000000000002</v>
      </c>
      <c r="J187">
        <f t="shared" si="13"/>
        <v>0.60874245433809004</v>
      </c>
      <c r="K187">
        <f t="shared" si="14"/>
        <v>-4.164000000000001E-2</v>
      </c>
      <c r="L187">
        <f t="shared" si="15"/>
        <v>0.95921503583570922</v>
      </c>
      <c r="N187" t="s">
        <v>256</v>
      </c>
    </row>
    <row r="188" spans="1:14" x14ac:dyDescent="0.3">
      <c r="A188" t="s">
        <v>229</v>
      </c>
      <c r="B188" t="str">
        <f t="shared" si="16"/>
        <v>Employment: Missing</v>
      </c>
      <c r="C188" t="s">
        <v>223</v>
      </c>
      <c r="D188">
        <v>-0.14099999999999999</v>
      </c>
      <c r="E188">
        <v>0.25</v>
      </c>
      <c r="F188">
        <v>-0.56299999999999994</v>
      </c>
      <c r="G188">
        <v>0.57399999999999995</v>
      </c>
      <c r="H188">
        <f t="shared" si="17"/>
        <v>0.86848931169766785</v>
      </c>
      <c r="I188">
        <f t="shared" si="12"/>
        <v>-0.63100000000000001</v>
      </c>
      <c r="J188">
        <f t="shared" si="13"/>
        <v>0.53205947541304766</v>
      </c>
      <c r="K188">
        <f t="shared" si="14"/>
        <v>0.34899999999999998</v>
      </c>
      <c r="L188">
        <f t="shared" si="15"/>
        <v>1.4176491903419861</v>
      </c>
      <c r="N188" t="s">
        <v>247</v>
      </c>
    </row>
    <row r="189" spans="1:14" x14ac:dyDescent="0.3">
      <c r="A189" t="s">
        <v>229</v>
      </c>
      <c r="B189" t="str">
        <f t="shared" si="16"/>
        <v>Child in household</v>
      </c>
      <c r="C189" t="s">
        <v>223</v>
      </c>
      <c r="D189">
        <v>-3.2000000000000001E-2</v>
      </c>
      <c r="E189">
        <v>9.7000000000000003E-2</v>
      </c>
      <c r="F189">
        <v>-0.33400000000000002</v>
      </c>
      <c r="G189">
        <v>0.73899999999999999</v>
      </c>
      <c r="H189">
        <f t="shared" si="17"/>
        <v>0.9685065820791976</v>
      </c>
      <c r="I189">
        <f t="shared" si="12"/>
        <v>-0.22212000000000001</v>
      </c>
      <c r="J189">
        <f t="shared" si="13"/>
        <v>0.80081926025729899</v>
      </c>
      <c r="K189">
        <f t="shared" si="14"/>
        <v>0.15812000000000001</v>
      </c>
      <c r="L189">
        <f t="shared" si="15"/>
        <v>1.1713067430837683</v>
      </c>
      <c r="N189" t="s">
        <v>260</v>
      </c>
    </row>
    <row r="190" spans="1:14" x14ac:dyDescent="0.3">
      <c r="A190" t="s">
        <v>229</v>
      </c>
      <c r="B190" t="str">
        <f t="shared" si="16"/>
        <v>Child in household: Missing (Ref: No child)</v>
      </c>
      <c r="C190" t="s">
        <v>223</v>
      </c>
      <c r="D190">
        <v>2.4E-2</v>
      </c>
      <c r="E190">
        <v>0.17199999999999999</v>
      </c>
      <c r="F190">
        <v>0.14199999999999999</v>
      </c>
      <c r="G190">
        <v>0.88700000000000001</v>
      </c>
      <c r="H190">
        <f t="shared" si="17"/>
        <v>1.0242903178906215</v>
      </c>
      <c r="I190">
        <f t="shared" si="12"/>
        <v>-0.31311999999999995</v>
      </c>
      <c r="J190">
        <f t="shared" si="13"/>
        <v>0.73116216784416255</v>
      </c>
      <c r="K190">
        <f t="shared" si="14"/>
        <v>0.36112</v>
      </c>
      <c r="L190">
        <f t="shared" si="15"/>
        <v>1.4349356428245714</v>
      </c>
      <c r="N190" t="s">
        <v>261</v>
      </c>
    </row>
    <row r="191" spans="1:14" x14ac:dyDescent="0.3">
      <c r="A191" t="s">
        <v>229</v>
      </c>
      <c r="B191" t="str">
        <f t="shared" si="16"/>
        <v>Income: Low tertile</v>
      </c>
      <c r="C191" t="s">
        <v>223</v>
      </c>
      <c r="D191">
        <v>4.2000000000000003E-2</v>
      </c>
      <c r="E191">
        <v>8.3000000000000004E-2</v>
      </c>
      <c r="F191">
        <v>0.50600000000000001</v>
      </c>
      <c r="G191">
        <v>0.61299999999999999</v>
      </c>
      <c r="H191">
        <f t="shared" si="17"/>
        <v>1.0428944787507632</v>
      </c>
      <c r="I191">
        <f t="shared" si="12"/>
        <v>-0.12068000000000001</v>
      </c>
      <c r="J191">
        <f t="shared" si="13"/>
        <v>0.88631753582972339</v>
      </c>
      <c r="K191">
        <f t="shared" si="14"/>
        <v>0.20468000000000003</v>
      </c>
      <c r="L191">
        <f t="shared" si="15"/>
        <v>1.2271323197849695</v>
      </c>
      <c r="N191" t="s">
        <v>246</v>
      </c>
    </row>
    <row r="192" spans="1:14" x14ac:dyDescent="0.3">
      <c r="A192" t="s">
        <v>229</v>
      </c>
      <c r="B192" t="str">
        <f t="shared" si="16"/>
        <v>Income: High tertile</v>
      </c>
      <c r="C192" t="s">
        <v>223</v>
      </c>
      <c r="D192">
        <v>-0.19700000000000001</v>
      </c>
      <c r="E192">
        <v>8.7999999999999995E-2</v>
      </c>
      <c r="F192">
        <v>-2.2450000000000001</v>
      </c>
      <c r="G192">
        <v>2.5000000000000001E-2</v>
      </c>
      <c r="H192">
        <f t="shared" si="17"/>
        <v>0.82119063331265796</v>
      </c>
      <c r="I192">
        <f t="shared" si="12"/>
        <v>-0.36948000000000003</v>
      </c>
      <c r="J192">
        <f t="shared" si="13"/>
        <v>0.69109360589275681</v>
      </c>
      <c r="K192">
        <f t="shared" si="14"/>
        <v>-2.4520000000000014E-2</v>
      </c>
      <c r="L192">
        <f t="shared" si="15"/>
        <v>0.97577817315978721</v>
      </c>
      <c r="N192" t="s">
        <v>245</v>
      </c>
    </row>
    <row r="193" spans="1:14" x14ac:dyDescent="0.3">
      <c r="A193" t="s">
        <v>229</v>
      </c>
      <c r="B193" t="str">
        <f t="shared" si="16"/>
        <v>Income: Missing (Ref: Medium)</v>
      </c>
      <c r="C193" s="75" t="s">
        <v>223</v>
      </c>
      <c r="D193" s="75">
        <v>0.51700000000000002</v>
      </c>
      <c r="E193" s="75">
        <v>0.124</v>
      </c>
      <c r="F193" s="75">
        <v>4.1749999999999998</v>
      </c>
      <c r="G193" s="75">
        <v>0</v>
      </c>
      <c r="H193">
        <f t="shared" si="17"/>
        <v>1.6769891283107623</v>
      </c>
      <c r="I193">
        <f t="shared" si="12"/>
        <v>0.27395999999999998</v>
      </c>
      <c r="J193">
        <f t="shared" si="13"/>
        <v>1.3151621946987928</v>
      </c>
      <c r="K193">
        <f t="shared" si="14"/>
        <v>0.76004000000000005</v>
      </c>
      <c r="L193">
        <f t="shared" si="15"/>
        <v>2.1383617532562824</v>
      </c>
      <c r="N193" t="s">
        <v>258</v>
      </c>
    </row>
    <row r="194" spans="1:14" x14ac:dyDescent="0.3">
      <c r="A194" t="s">
        <v>230</v>
      </c>
      <c r="B194" t="str">
        <f t="shared" si="16"/>
        <v>Household member (Ref: Anchor)</v>
      </c>
      <c r="C194" t="s">
        <v>224</v>
      </c>
      <c r="D194">
        <v>0.44700000000000001</v>
      </c>
      <c r="E194">
        <v>0.17699999999999999</v>
      </c>
      <c r="F194">
        <v>2.5299999999999998</v>
      </c>
      <c r="G194">
        <v>1.0999999999999999E-2</v>
      </c>
      <c r="H194">
        <f t="shared" si="17"/>
        <v>1.5636142992864182</v>
      </c>
      <c r="I194">
        <f t="shared" ref="I194:I257" si="18">$D194-1.96*$E194</f>
        <v>0.10008000000000006</v>
      </c>
      <c r="J194">
        <f t="shared" ref="J194:J257" si="19">EXP($I194)</f>
        <v>1.1052593352857349</v>
      </c>
      <c r="K194">
        <f t="shared" ref="K194:K257" si="20">$D194+1.96*$E194</f>
        <v>0.79391999999999996</v>
      </c>
      <c r="L194">
        <f t="shared" ref="L194:L257" si="21">EXP($K194)</f>
        <v>2.2120506915247145</v>
      </c>
      <c r="N194" t="s">
        <v>254</v>
      </c>
    </row>
    <row r="195" spans="1:14" x14ac:dyDescent="0.3">
      <c r="A195" t="s">
        <v>230</v>
      </c>
      <c r="B195" t="str">
        <f t="shared" ref="B195:B258" si="22">N195</f>
        <v>Age: Young tertile (Ref: Medium)</v>
      </c>
      <c r="C195" t="s">
        <v>224</v>
      </c>
      <c r="D195">
        <v>-1.0840000000000001</v>
      </c>
      <c r="E195">
        <v>0.61199999999999999</v>
      </c>
      <c r="F195">
        <v>-1.77</v>
      </c>
      <c r="G195">
        <v>7.6999999999999999E-2</v>
      </c>
      <c r="H195">
        <f t="shared" si="17"/>
        <v>0.33823985668783169</v>
      </c>
      <c r="I195">
        <f t="shared" si="18"/>
        <v>-2.2835200000000002</v>
      </c>
      <c r="J195">
        <f t="shared" si="19"/>
        <v>0.10192479923616257</v>
      </c>
      <c r="K195">
        <f t="shared" si="20"/>
        <v>0.11551999999999985</v>
      </c>
      <c r="L195">
        <f t="shared" si="21"/>
        <v>1.1224569634630586</v>
      </c>
      <c r="N195" t="s">
        <v>244</v>
      </c>
    </row>
    <row r="196" spans="1:14" x14ac:dyDescent="0.3">
      <c r="A196" t="s">
        <v>230</v>
      </c>
      <c r="B196" t="str">
        <f t="shared" si="22"/>
        <v>Age: Old tertile</v>
      </c>
      <c r="C196" t="s">
        <v>224</v>
      </c>
      <c r="D196">
        <v>0.54800000000000004</v>
      </c>
      <c r="E196">
        <v>0.29399999999999998</v>
      </c>
      <c r="F196">
        <v>1.865</v>
      </c>
      <c r="G196">
        <v>6.2E-2</v>
      </c>
      <c r="H196">
        <f t="shared" si="17"/>
        <v>1.7297899760278472</v>
      </c>
      <c r="I196">
        <f t="shared" si="18"/>
        <v>-2.8239999999999932E-2</v>
      </c>
      <c r="J196">
        <f t="shared" si="19"/>
        <v>0.97215502159575939</v>
      </c>
      <c r="K196">
        <f t="shared" si="20"/>
        <v>1.1242399999999999</v>
      </c>
      <c r="L196">
        <f t="shared" si="21"/>
        <v>3.077876773454165</v>
      </c>
      <c r="N196" t="s">
        <v>251</v>
      </c>
    </row>
    <row r="197" spans="1:14" x14ac:dyDescent="0.3">
      <c r="A197" t="s">
        <v>230</v>
      </c>
      <c r="B197" t="str">
        <f t="shared" si="22"/>
        <v>Gender: Female (Ref: Not female</v>
      </c>
      <c r="C197" t="s">
        <v>224</v>
      </c>
      <c r="D197">
        <v>0.66900000000000004</v>
      </c>
      <c r="E197">
        <v>0.154</v>
      </c>
      <c r="F197">
        <v>4.3600000000000003</v>
      </c>
      <c r="G197">
        <v>0</v>
      </c>
      <c r="H197">
        <f t="shared" si="17"/>
        <v>1.9522840601083391</v>
      </c>
      <c r="I197">
        <f t="shared" si="18"/>
        <v>0.36716000000000004</v>
      </c>
      <c r="J197">
        <f t="shared" si="19"/>
        <v>1.443628881258715</v>
      </c>
      <c r="K197">
        <f t="shared" si="20"/>
        <v>0.97084000000000004</v>
      </c>
      <c r="L197">
        <f t="shared" si="21"/>
        <v>2.6401612636274567</v>
      </c>
      <c r="N197" t="s">
        <v>114</v>
      </c>
    </row>
    <row r="198" spans="1:14" x14ac:dyDescent="0.3">
      <c r="A198" t="s">
        <v>230</v>
      </c>
      <c r="B198" t="str">
        <f t="shared" si="22"/>
        <v>Migration (Ref: No)</v>
      </c>
      <c r="C198" t="s">
        <v>224</v>
      </c>
      <c r="D198">
        <v>0.29199999999999998</v>
      </c>
      <c r="E198">
        <v>0.21199999999999999</v>
      </c>
      <c r="F198">
        <v>1.3779999999999999</v>
      </c>
      <c r="G198">
        <v>0.16800000000000001</v>
      </c>
      <c r="H198">
        <f t="shared" si="17"/>
        <v>1.3391030176392937</v>
      </c>
      <c r="I198">
        <f t="shared" si="18"/>
        <v>-0.12352000000000002</v>
      </c>
      <c r="J198">
        <f t="shared" si="19"/>
        <v>0.88380396498801672</v>
      </c>
      <c r="K198">
        <f t="shared" si="20"/>
        <v>0.70751999999999993</v>
      </c>
      <c r="L198">
        <f t="shared" si="21"/>
        <v>2.0289532100876873</v>
      </c>
      <c r="N198" t="s">
        <v>253</v>
      </c>
    </row>
    <row r="199" spans="1:14" x14ac:dyDescent="0.3">
      <c r="A199" t="s">
        <v>230</v>
      </c>
      <c r="B199" t="str">
        <f t="shared" si="22"/>
        <v>Education: Tertiary (Ref: Non-tert.)</v>
      </c>
      <c r="C199" t="s">
        <v>224</v>
      </c>
      <c r="D199">
        <v>-0.34699999999999998</v>
      </c>
      <c r="E199">
        <v>0.17799999999999999</v>
      </c>
      <c r="F199">
        <v>-1.9550000000000001</v>
      </c>
      <c r="G199">
        <v>5.0999999999999997E-2</v>
      </c>
      <c r="H199">
        <f t="shared" ref="H199:H262" si="23">(EXP($D199))*1</f>
        <v>0.70680532825774944</v>
      </c>
      <c r="I199">
        <f t="shared" si="18"/>
        <v>-0.69587999999999994</v>
      </c>
      <c r="J199">
        <f t="shared" si="19"/>
        <v>0.49863545565586359</v>
      </c>
      <c r="K199">
        <f t="shared" si="20"/>
        <v>1.8799999999999928E-3</v>
      </c>
      <c r="L199">
        <f t="shared" si="21"/>
        <v>1.0018817683079659</v>
      </c>
      <c r="N199" t="s">
        <v>252</v>
      </c>
    </row>
    <row r="200" spans="1:14" x14ac:dyDescent="0.3">
      <c r="A200" t="s">
        <v>230</v>
      </c>
      <c r="B200" t="str">
        <f t="shared" si="22"/>
        <v>Education: Missing</v>
      </c>
      <c r="C200" t="s">
        <v>224</v>
      </c>
      <c r="D200">
        <v>0.14699999999999999</v>
      </c>
      <c r="E200">
        <v>0.26500000000000001</v>
      </c>
      <c r="F200">
        <v>0.55500000000000005</v>
      </c>
      <c r="G200">
        <v>0.57899999999999996</v>
      </c>
      <c r="H200">
        <f t="shared" si="23"/>
        <v>1.1583539630298554</v>
      </c>
      <c r="I200">
        <f t="shared" si="18"/>
        <v>-0.37239999999999995</v>
      </c>
      <c r="J200">
        <f t="shared" si="19"/>
        <v>0.68907855596819978</v>
      </c>
      <c r="K200">
        <f t="shared" si="20"/>
        <v>0.66639999999999999</v>
      </c>
      <c r="L200">
        <f t="shared" si="21"/>
        <v>1.9472147145570051</v>
      </c>
      <c r="N200" t="s">
        <v>250</v>
      </c>
    </row>
    <row r="201" spans="1:14" x14ac:dyDescent="0.3">
      <c r="A201" t="s">
        <v>230</v>
      </c>
      <c r="B201" t="str">
        <f t="shared" si="22"/>
        <v>Employment: Part-time</v>
      </c>
      <c r="C201" t="s">
        <v>224</v>
      </c>
      <c r="D201">
        <v>-0.34499999999999997</v>
      </c>
      <c r="E201">
        <v>0.58099999999999996</v>
      </c>
      <c r="F201">
        <v>-0.59399999999999997</v>
      </c>
      <c r="G201">
        <v>0.55300000000000005</v>
      </c>
      <c r="H201">
        <f t="shared" si="23"/>
        <v>0.70822035346779999</v>
      </c>
      <c r="I201">
        <f t="shared" si="18"/>
        <v>-1.48376</v>
      </c>
      <c r="J201">
        <f t="shared" si="19"/>
        <v>0.22678337778590524</v>
      </c>
      <c r="K201">
        <f t="shared" si="20"/>
        <v>0.79376000000000002</v>
      </c>
      <c r="L201">
        <f t="shared" si="21"/>
        <v>2.2116967917268093</v>
      </c>
      <c r="N201" t="s">
        <v>248</v>
      </c>
    </row>
    <row r="202" spans="1:14" x14ac:dyDescent="0.3">
      <c r="A202" t="s">
        <v>230</v>
      </c>
      <c r="B202" t="str">
        <f t="shared" si="22"/>
        <v>Employment: None</v>
      </c>
      <c r="C202" t="s">
        <v>224</v>
      </c>
      <c r="D202">
        <v>1.379</v>
      </c>
      <c r="E202">
        <v>0.45300000000000001</v>
      </c>
      <c r="F202">
        <v>3.0470000000000002</v>
      </c>
      <c r="G202">
        <v>2E-3</v>
      </c>
      <c r="H202">
        <f t="shared" si="23"/>
        <v>3.9709287126557493</v>
      </c>
      <c r="I202">
        <f t="shared" si="18"/>
        <v>0.49112</v>
      </c>
      <c r="J202">
        <f t="shared" si="19"/>
        <v>1.6341454382927836</v>
      </c>
      <c r="K202">
        <f t="shared" si="20"/>
        <v>2.26688</v>
      </c>
      <c r="L202">
        <f t="shared" si="21"/>
        <v>9.6492481461547257</v>
      </c>
      <c r="N202" t="s">
        <v>249</v>
      </c>
    </row>
    <row r="203" spans="1:14" x14ac:dyDescent="0.3">
      <c r="A203" t="s">
        <v>230</v>
      </c>
      <c r="B203" t="str">
        <f t="shared" si="22"/>
        <v>Employment: Retired (Ref: Full)</v>
      </c>
      <c r="C203" t="s">
        <v>224</v>
      </c>
      <c r="D203">
        <v>1.524</v>
      </c>
      <c r="E203">
        <v>0.44400000000000001</v>
      </c>
      <c r="F203">
        <v>3.4279999999999999</v>
      </c>
      <c r="G203">
        <v>1E-3</v>
      </c>
      <c r="H203">
        <f t="shared" si="23"/>
        <v>4.5905507225435009</v>
      </c>
      <c r="I203">
        <f t="shared" si="18"/>
        <v>0.65376000000000001</v>
      </c>
      <c r="J203">
        <f t="shared" si="19"/>
        <v>1.9227568200928191</v>
      </c>
      <c r="K203">
        <f t="shared" si="20"/>
        <v>2.3942399999999999</v>
      </c>
      <c r="L203">
        <f t="shared" si="21"/>
        <v>10.959865395368807</v>
      </c>
      <c r="N203" t="s">
        <v>256</v>
      </c>
    </row>
    <row r="204" spans="1:14" x14ac:dyDescent="0.3">
      <c r="A204" t="s">
        <v>230</v>
      </c>
      <c r="B204" t="str">
        <f t="shared" si="22"/>
        <v>Employment: Missing</v>
      </c>
      <c r="C204" t="s">
        <v>224</v>
      </c>
      <c r="D204">
        <v>1.97</v>
      </c>
      <c r="E204">
        <v>0.51100000000000001</v>
      </c>
      <c r="F204">
        <v>3.8530000000000002</v>
      </c>
      <c r="G204">
        <v>0</v>
      </c>
      <c r="H204">
        <f t="shared" si="23"/>
        <v>7.1706764883466132</v>
      </c>
      <c r="I204">
        <f t="shared" si="18"/>
        <v>0.96843999999999997</v>
      </c>
      <c r="J204">
        <f t="shared" si="19"/>
        <v>2.6338324741799064</v>
      </c>
      <c r="K204">
        <f t="shared" si="20"/>
        <v>2.9715600000000002</v>
      </c>
      <c r="L204">
        <f t="shared" si="21"/>
        <v>19.522350720706743</v>
      </c>
      <c r="N204" t="s">
        <v>247</v>
      </c>
    </row>
    <row r="205" spans="1:14" x14ac:dyDescent="0.3">
      <c r="A205" t="s">
        <v>230</v>
      </c>
      <c r="B205" t="str">
        <f t="shared" si="22"/>
        <v>Child in household</v>
      </c>
      <c r="C205" t="s">
        <v>224</v>
      </c>
      <c r="D205">
        <v>-0.318</v>
      </c>
      <c r="E205">
        <v>0.46100000000000002</v>
      </c>
      <c r="F205">
        <v>-0.69</v>
      </c>
      <c r="G205">
        <v>0.49</v>
      </c>
      <c r="H205">
        <f t="shared" si="23"/>
        <v>0.72760278841459547</v>
      </c>
      <c r="I205">
        <f t="shared" si="18"/>
        <v>-1.22156</v>
      </c>
      <c r="J205">
        <f t="shared" si="19"/>
        <v>0.29476996691294993</v>
      </c>
      <c r="K205">
        <f t="shared" si="20"/>
        <v>0.58556000000000008</v>
      </c>
      <c r="L205">
        <f t="shared" si="21"/>
        <v>1.7959964620989906</v>
      </c>
      <c r="N205" t="s">
        <v>260</v>
      </c>
    </row>
    <row r="206" spans="1:14" x14ac:dyDescent="0.3">
      <c r="A206" t="s">
        <v>230</v>
      </c>
      <c r="B206" t="str">
        <f t="shared" si="22"/>
        <v>Child in household: Missing (Ref: No child)</v>
      </c>
      <c r="C206" t="s">
        <v>224</v>
      </c>
      <c r="D206">
        <v>-1.016</v>
      </c>
      <c r="E206">
        <v>0.28799999999999998</v>
      </c>
      <c r="F206">
        <v>-3.5219999999999998</v>
      </c>
      <c r="G206">
        <v>0</v>
      </c>
      <c r="H206">
        <f t="shared" si="23"/>
        <v>0.36204020854348745</v>
      </c>
      <c r="I206">
        <f t="shared" si="18"/>
        <v>-1.5804800000000001</v>
      </c>
      <c r="J206">
        <f t="shared" si="19"/>
        <v>0.20587625388228034</v>
      </c>
      <c r="K206">
        <f t="shared" si="20"/>
        <v>-0.45152000000000003</v>
      </c>
      <c r="L206">
        <f t="shared" si="21"/>
        <v>0.63665969304628611</v>
      </c>
      <c r="N206" t="s">
        <v>261</v>
      </c>
    </row>
    <row r="207" spans="1:14" x14ac:dyDescent="0.3">
      <c r="A207" t="s">
        <v>230</v>
      </c>
      <c r="B207" t="str">
        <f t="shared" si="22"/>
        <v>Income: Low tertile</v>
      </c>
      <c r="C207" t="s">
        <v>224</v>
      </c>
      <c r="D207">
        <v>0.29299999999999998</v>
      </c>
      <c r="E207">
        <v>0.193</v>
      </c>
      <c r="F207">
        <v>1.52</v>
      </c>
      <c r="G207">
        <v>0.128</v>
      </c>
      <c r="H207">
        <f t="shared" si="23"/>
        <v>1.3404427904316814</v>
      </c>
      <c r="I207">
        <f t="shared" si="18"/>
        <v>-8.5280000000000022E-2</v>
      </c>
      <c r="J207">
        <f t="shared" si="19"/>
        <v>0.91825513696414618</v>
      </c>
      <c r="K207">
        <f t="shared" si="20"/>
        <v>0.67127999999999999</v>
      </c>
      <c r="L207">
        <f t="shared" si="21"/>
        <v>1.9567403460008406</v>
      </c>
      <c r="N207" t="s">
        <v>246</v>
      </c>
    </row>
    <row r="208" spans="1:14" x14ac:dyDescent="0.3">
      <c r="A208" t="s">
        <v>230</v>
      </c>
      <c r="B208" t="str">
        <f t="shared" si="22"/>
        <v>Income: High tertile</v>
      </c>
      <c r="C208" t="s">
        <v>224</v>
      </c>
      <c r="D208">
        <v>-0.61599999999999999</v>
      </c>
      <c r="E208">
        <v>0.32400000000000001</v>
      </c>
      <c r="F208">
        <v>-1.9</v>
      </c>
      <c r="G208">
        <v>5.7000000000000002E-2</v>
      </c>
      <c r="H208">
        <f t="shared" si="23"/>
        <v>0.54010052464437064</v>
      </c>
      <c r="I208">
        <f t="shared" si="18"/>
        <v>-1.2510400000000002</v>
      </c>
      <c r="J208">
        <f t="shared" si="19"/>
        <v>0.28620698675955042</v>
      </c>
      <c r="K208">
        <f t="shared" si="20"/>
        <v>1.9040000000000057E-2</v>
      </c>
      <c r="L208">
        <f t="shared" si="21"/>
        <v>1.0192224166987089</v>
      </c>
      <c r="N208" t="s">
        <v>245</v>
      </c>
    </row>
    <row r="209" spans="1:14" x14ac:dyDescent="0.3">
      <c r="A209" t="s">
        <v>230</v>
      </c>
      <c r="B209" t="str">
        <f t="shared" si="22"/>
        <v>Income: Missing (Ref: Medium)</v>
      </c>
      <c r="C209" t="s">
        <v>224</v>
      </c>
      <c r="D209">
        <v>1.6930000000000001</v>
      </c>
      <c r="E209">
        <v>0.249</v>
      </c>
      <c r="F209">
        <v>6.7889999999999997</v>
      </c>
      <c r="G209">
        <v>0</v>
      </c>
      <c r="H209">
        <f t="shared" si="23"/>
        <v>5.4357635593157383</v>
      </c>
      <c r="I209">
        <f t="shared" si="18"/>
        <v>1.20496</v>
      </c>
      <c r="J209">
        <f t="shared" si="19"/>
        <v>3.3366256103736638</v>
      </c>
      <c r="K209">
        <f t="shared" si="20"/>
        <v>2.1810399999999999</v>
      </c>
      <c r="L209">
        <f t="shared" si="21"/>
        <v>8.8555112029712895</v>
      </c>
      <c r="N209" t="s">
        <v>258</v>
      </c>
    </row>
    <row r="210" spans="1:14" x14ac:dyDescent="0.3">
      <c r="A210" t="s">
        <v>230</v>
      </c>
      <c r="B210" t="str">
        <f t="shared" si="22"/>
        <v>Household member (Ref: Anchor)</v>
      </c>
      <c r="C210" t="s">
        <v>225</v>
      </c>
      <c r="D210">
        <v>0.48</v>
      </c>
      <c r="E210">
        <v>0.188</v>
      </c>
      <c r="F210">
        <v>2.5539999999999998</v>
      </c>
      <c r="G210">
        <v>1.0999999999999999E-2</v>
      </c>
      <c r="H210">
        <f t="shared" si="23"/>
        <v>1.6160744021928934</v>
      </c>
      <c r="I210">
        <f t="shared" si="18"/>
        <v>0.11152000000000001</v>
      </c>
      <c r="J210">
        <f t="shared" si="19"/>
        <v>1.1179761033040032</v>
      </c>
      <c r="K210">
        <f t="shared" si="20"/>
        <v>0.8484799999999999</v>
      </c>
      <c r="L210">
        <f t="shared" si="21"/>
        <v>2.3360932901022284</v>
      </c>
      <c r="N210" t="s">
        <v>254</v>
      </c>
    </row>
    <row r="211" spans="1:14" x14ac:dyDescent="0.3">
      <c r="A211" t="s">
        <v>230</v>
      </c>
      <c r="B211" t="str">
        <f t="shared" si="22"/>
        <v>Age: Young tertile (Ref: Medium)</v>
      </c>
      <c r="C211" t="s">
        <v>225</v>
      </c>
      <c r="D211">
        <v>-1.5249999999999999</v>
      </c>
      <c r="E211">
        <v>0.622</v>
      </c>
      <c r="F211">
        <v>-2.4529999999999998</v>
      </c>
      <c r="G211">
        <v>1.4E-2</v>
      </c>
      <c r="H211">
        <f t="shared" si="23"/>
        <v>0.21762105686523289</v>
      </c>
      <c r="I211">
        <f t="shared" si="18"/>
        <v>-2.7441199999999997</v>
      </c>
      <c r="J211">
        <f t="shared" si="19"/>
        <v>6.430486433357524E-2</v>
      </c>
      <c r="K211">
        <f t="shared" si="20"/>
        <v>-0.30587999999999993</v>
      </c>
      <c r="L211">
        <f t="shared" si="21"/>
        <v>0.7364749911526306</v>
      </c>
      <c r="N211" t="s">
        <v>244</v>
      </c>
    </row>
    <row r="212" spans="1:14" x14ac:dyDescent="0.3">
      <c r="A212" t="s">
        <v>230</v>
      </c>
      <c r="B212" t="str">
        <f t="shared" si="22"/>
        <v>Age: Old tertile</v>
      </c>
      <c r="C212" t="s">
        <v>225</v>
      </c>
      <c r="D212">
        <v>0.93899999999999995</v>
      </c>
      <c r="E212">
        <v>0.31</v>
      </c>
      <c r="F212">
        <v>3.032</v>
      </c>
      <c r="G212">
        <v>2E-3</v>
      </c>
      <c r="H212">
        <f t="shared" si="23"/>
        <v>2.5574227164750942</v>
      </c>
      <c r="I212">
        <f t="shared" si="18"/>
        <v>0.33139999999999992</v>
      </c>
      <c r="J212">
        <f t="shared" si="19"/>
        <v>1.3929168476287541</v>
      </c>
      <c r="K212">
        <f t="shared" si="20"/>
        <v>1.5466</v>
      </c>
      <c r="L212">
        <f t="shared" si="21"/>
        <v>4.6954783854305333</v>
      </c>
      <c r="N212" t="s">
        <v>251</v>
      </c>
    </row>
    <row r="213" spans="1:14" x14ac:dyDescent="0.3">
      <c r="A213" t="s">
        <v>230</v>
      </c>
      <c r="B213" t="str">
        <f t="shared" si="22"/>
        <v>Gender: Female (Ref: Not female</v>
      </c>
      <c r="C213" t="s">
        <v>225</v>
      </c>
      <c r="D213">
        <v>0.28699999999999998</v>
      </c>
      <c r="E213">
        <v>0.16600000000000001</v>
      </c>
      <c r="F213">
        <v>1.7310000000000001</v>
      </c>
      <c r="G213">
        <v>8.4000000000000005E-2</v>
      </c>
      <c r="H213">
        <f t="shared" si="23"/>
        <v>1.3324242134756759</v>
      </c>
      <c r="I213">
        <f t="shared" si="18"/>
        <v>-3.8360000000000061E-2</v>
      </c>
      <c r="J213">
        <f t="shared" si="19"/>
        <v>0.96236642660879179</v>
      </c>
      <c r="K213">
        <f t="shared" si="20"/>
        <v>0.61236000000000002</v>
      </c>
      <c r="L213">
        <f t="shared" si="21"/>
        <v>1.8447799461503516</v>
      </c>
      <c r="N213" t="s">
        <v>114</v>
      </c>
    </row>
    <row r="214" spans="1:14" x14ac:dyDescent="0.3">
      <c r="A214" t="s">
        <v>230</v>
      </c>
      <c r="B214" t="str">
        <f t="shared" si="22"/>
        <v>Migration (Ref: No)</v>
      </c>
      <c r="C214" t="s">
        <v>225</v>
      </c>
      <c r="D214">
        <v>0.29899999999999999</v>
      </c>
      <c r="E214">
        <v>0.22800000000000001</v>
      </c>
      <c r="F214">
        <v>1.3109999999999999</v>
      </c>
      <c r="G214">
        <v>0.19</v>
      </c>
      <c r="H214">
        <f t="shared" si="23"/>
        <v>1.3485096234729106</v>
      </c>
      <c r="I214">
        <f t="shared" si="18"/>
        <v>-0.14788000000000001</v>
      </c>
      <c r="J214">
        <f t="shared" si="19"/>
        <v>0.86253461288559086</v>
      </c>
      <c r="K214">
        <f t="shared" si="20"/>
        <v>0.74587999999999999</v>
      </c>
      <c r="L214">
        <f t="shared" si="21"/>
        <v>2.1082959192969333</v>
      </c>
      <c r="N214" t="s">
        <v>253</v>
      </c>
    </row>
    <row r="215" spans="1:14" x14ac:dyDescent="0.3">
      <c r="A215" t="s">
        <v>230</v>
      </c>
      <c r="B215" t="str">
        <f t="shared" si="22"/>
        <v>Education: Tertiary (Ref: Non-tert.)</v>
      </c>
      <c r="C215" t="s">
        <v>225</v>
      </c>
      <c r="D215">
        <v>-0.498</v>
      </c>
      <c r="E215">
        <v>0.191</v>
      </c>
      <c r="F215">
        <v>-2.6059999999999999</v>
      </c>
      <c r="G215">
        <v>8.9999999999999993E-3</v>
      </c>
      <c r="H215">
        <f t="shared" si="23"/>
        <v>0.60774493490249015</v>
      </c>
      <c r="I215">
        <f t="shared" si="18"/>
        <v>-0.87236000000000002</v>
      </c>
      <c r="J215">
        <f t="shared" si="19"/>
        <v>0.41796398937042906</v>
      </c>
      <c r="K215">
        <f t="shared" si="20"/>
        <v>-0.12363999999999997</v>
      </c>
      <c r="L215">
        <f t="shared" si="21"/>
        <v>0.88369791487535221</v>
      </c>
      <c r="N215" t="s">
        <v>252</v>
      </c>
    </row>
    <row r="216" spans="1:14" x14ac:dyDescent="0.3">
      <c r="A216" t="s">
        <v>230</v>
      </c>
      <c r="B216" t="str">
        <f t="shared" si="22"/>
        <v>Education: Missing</v>
      </c>
      <c r="C216" t="s">
        <v>225</v>
      </c>
      <c r="D216">
        <v>0.45300000000000001</v>
      </c>
      <c r="E216">
        <v>0.33300000000000002</v>
      </c>
      <c r="F216">
        <v>1.3620000000000001</v>
      </c>
      <c r="G216">
        <v>0.17299999999999999</v>
      </c>
      <c r="H216">
        <f t="shared" si="23"/>
        <v>1.5730241865141752</v>
      </c>
      <c r="I216">
        <f t="shared" si="18"/>
        <v>-0.19968000000000002</v>
      </c>
      <c r="J216">
        <f t="shared" si="19"/>
        <v>0.81899278884245308</v>
      </c>
      <c r="K216">
        <f t="shared" si="20"/>
        <v>1.10568</v>
      </c>
      <c r="L216">
        <f t="shared" si="21"/>
        <v>3.0212782396483044</v>
      </c>
      <c r="N216" t="s">
        <v>250</v>
      </c>
    </row>
    <row r="217" spans="1:14" x14ac:dyDescent="0.3">
      <c r="A217" t="s">
        <v>230</v>
      </c>
      <c r="B217" t="str">
        <f t="shared" si="22"/>
        <v>Employment: Part-time</v>
      </c>
      <c r="C217" t="s">
        <v>225</v>
      </c>
      <c r="D217">
        <v>-0.378</v>
      </c>
      <c r="E217">
        <v>0.59299999999999997</v>
      </c>
      <c r="F217">
        <v>-0.63800000000000001</v>
      </c>
      <c r="G217">
        <v>0.52400000000000002</v>
      </c>
      <c r="H217">
        <f t="shared" si="23"/>
        <v>0.68523050066587032</v>
      </c>
      <c r="I217">
        <f t="shared" si="18"/>
        <v>-1.5402800000000001</v>
      </c>
      <c r="J217">
        <f t="shared" si="19"/>
        <v>0.21432108312153325</v>
      </c>
      <c r="K217">
        <f t="shared" si="20"/>
        <v>0.78427999999999998</v>
      </c>
      <c r="L217">
        <f t="shared" si="21"/>
        <v>2.1908289758714061</v>
      </c>
      <c r="N217" t="s">
        <v>248</v>
      </c>
    </row>
    <row r="218" spans="1:14" x14ac:dyDescent="0.3">
      <c r="A218" t="s">
        <v>230</v>
      </c>
      <c r="B218" t="str">
        <f t="shared" si="22"/>
        <v>Employment: None</v>
      </c>
      <c r="C218" t="s">
        <v>225</v>
      </c>
      <c r="D218">
        <v>1.7190000000000001</v>
      </c>
      <c r="E218">
        <v>0.46800000000000003</v>
      </c>
      <c r="F218">
        <v>3.6760000000000002</v>
      </c>
      <c r="G218">
        <v>0</v>
      </c>
      <c r="H218">
        <f t="shared" si="23"/>
        <v>5.5789467271454889</v>
      </c>
      <c r="I218">
        <f t="shared" si="18"/>
        <v>0.8017200000000001</v>
      </c>
      <c r="J218">
        <f t="shared" si="19"/>
        <v>2.2293721527978532</v>
      </c>
      <c r="K218">
        <f t="shared" si="20"/>
        <v>2.6362800000000002</v>
      </c>
      <c r="L218">
        <f t="shared" si="21"/>
        <v>13.961171330352384</v>
      </c>
      <c r="N218" t="s">
        <v>249</v>
      </c>
    </row>
    <row r="219" spans="1:14" x14ac:dyDescent="0.3">
      <c r="A219" t="s">
        <v>230</v>
      </c>
      <c r="B219" t="str">
        <f t="shared" si="22"/>
        <v>Employment: Retired (Ref: Full)</v>
      </c>
      <c r="C219" t="s">
        <v>225</v>
      </c>
      <c r="D219">
        <v>1.9450000000000001</v>
      </c>
      <c r="E219">
        <v>0.46400000000000002</v>
      </c>
      <c r="F219">
        <v>4.1890000000000001</v>
      </c>
      <c r="G219">
        <v>0</v>
      </c>
      <c r="H219">
        <f t="shared" si="23"/>
        <v>6.9936318550329695</v>
      </c>
      <c r="I219">
        <f t="shared" si="18"/>
        <v>1.03556</v>
      </c>
      <c r="J219">
        <f t="shared" si="19"/>
        <v>2.8166831366070793</v>
      </c>
      <c r="K219">
        <f t="shared" si="20"/>
        <v>2.8544400000000003</v>
      </c>
      <c r="L219">
        <f t="shared" si="21"/>
        <v>17.364710246623265</v>
      </c>
      <c r="N219" t="s">
        <v>256</v>
      </c>
    </row>
    <row r="220" spans="1:14" x14ac:dyDescent="0.3">
      <c r="A220" t="s">
        <v>230</v>
      </c>
      <c r="B220" t="str">
        <f t="shared" si="22"/>
        <v>Employment: Missing</v>
      </c>
      <c r="C220" t="s">
        <v>225</v>
      </c>
      <c r="D220">
        <v>2.7639999999999998</v>
      </c>
      <c r="E220">
        <v>0.55600000000000005</v>
      </c>
      <c r="F220">
        <v>4.9749999999999996</v>
      </c>
      <c r="G220">
        <v>0</v>
      </c>
      <c r="H220">
        <f t="shared" si="23"/>
        <v>15.863168887497347</v>
      </c>
      <c r="I220">
        <f t="shared" si="18"/>
        <v>1.6742399999999997</v>
      </c>
      <c r="J220">
        <f t="shared" si="19"/>
        <v>5.334739206213392</v>
      </c>
      <c r="K220">
        <f t="shared" si="20"/>
        <v>3.8537599999999999</v>
      </c>
      <c r="L220">
        <f t="shared" si="21"/>
        <v>47.170089750625024</v>
      </c>
      <c r="N220" t="s">
        <v>247</v>
      </c>
    </row>
    <row r="221" spans="1:14" x14ac:dyDescent="0.3">
      <c r="A221" t="s">
        <v>230</v>
      </c>
      <c r="B221" t="str">
        <f t="shared" si="22"/>
        <v>Child in household</v>
      </c>
      <c r="C221" t="s">
        <v>225</v>
      </c>
      <c r="D221">
        <v>-0.38600000000000001</v>
      </c>
      <c r="E221">
        <v>0.47399999999999998</v>
      </c>
      <c r="F221">
        <v>-0.81399999999999995</v>
      </c>
      <c r="G221">
        <v>0.41599999999999998</v>
      </c>
      <c r="H221">
        <f t="shared" si="23"/>
        <v>0.67977052568032104</v>
      </c>
      <c r="I221">
        <f t="shared" si="18"/>
        <v>-1.31504</v>
      </c>
      <c r="J221">
        <f t="shared" si="19"/>
        <v>0.26846358448108365</v>
      </c>
      <c r="K221">
        <f t="shared" si="20"/>
        <v>0.54303999999999997</v>
      </c>
      <c r="L221">
        <f t="shared" si="21"/>
        <v>1.7212314604115684</v>
      </c>
      <c r="N221" t="s">
        <v>260</v>
      </c>
    </row>
    <row r="222" spans="1:14" x14ac:dyDescent="0.3">
      <c r="A222" t="s">
        <v>230</v>
      </c>
      <c r="B222" t="str">
        <f t="shared" si="22"/>
        <v>Child in household: Missing (Ref: No child)</v>
      </c>
      <c r="C222" t="s">
        <v>225</v>
      </c>
      <c r="D222">
        <v>-0.90900000000000003</v>
      </c>
      <c r="E222">
        <v>0.33800000000000002</v>
      </c>
      <c r="F222">
        <v>-2.6880000000000002</v>
      </c>
      <c r="G222">
        <v>7.0000000000000001E-3</v>
      </c>
      <c r="H222">
        <f t="shared" si="23"/>
        <v>0.40292694958688574</v>
      </c>
      <c r="I222">
        <f t="shared" si="18"/>
        <v>-1.5714800000000002</v>
      </c>
      <c r="J222">
        <f t="shared" si="19"/>
        <v>0.2077375032258508</v>
      </c>
      <c r="K222">
        <f t="shared" si="20"/>
        <v>-0.24651999999999996</v>
      </c>
      <c r="L222">
        <f t="shared" si="21"/>
        <v>0.78151573106607919</v>
      </c>
      <c r="N222" t="s">
        <v>261</v>
      </c>
    </row>
    <row r="223" spans="1:14" x14ac:dyDescent="0.3">
      <c r="A223" t="s">
        <v>230</v>
      </c>
      <c r="B223" t="str">
        <f t="shared" si="22"/>
        <v>Income: Low tertile</v>
      </c>
      <c r="C223" t="s">
        <v>225</v>
      </c>
      <c r="D223">
        <v>0.40300000000000002</v>
      </c>
      <c r="E223">
        <v>0.20699999999999999</v>
      </c>
      <c r="F223">
        <v>1.948</v>
      </c>
      <c r="G223">
        <v>5.0999999999999997E-2</v>
      </c>
      <c r="H223">
        <f t="shared" si="23"/>
        <v>1.4963068916635827</v>
      </c>
      <c r="I223">
        <f t="shared" si="18"/>
        <v>-2.7199999999999447E-3</v>
      </c>
      <c r="J223">
        <f t="shared" si="19"/>
        <v>0.9972836958483382</v>
      </c>
      <c r="K223">
        <f t="shared" si="20"/>
        <v>0.80871999999999999</v>
      </c>
      <c r="L223">
        <f t="shared" si="21"/>
        <v>2.245032505154299</v>
      </c>
      <c r="N223" t="s">
        <v>246</v>
      </c>
    </row>
    <row r="224" spans="1:14" x14ac:dyDescent="0.3">
      <c r="A224" t="s">
        <v>230</v>
      </c>
      <c r="B224" t="str">
        <f t="shared" si="22"/>
        <v>Income: High tertile</v>
      </c>
      <c r="C224" t="s">
        <v>225</v>
      </c>
      <c r="D224">
        <v>-0.65700000000000003</v>
      </c>
      <c r="E224">
        <v>0.34200000000000003</v>
      </c>
      <c r="F224">
        <v>-1.9219999999999999</v>
      </c>
      <c r="G224">
        <v>5.5E-2</v>
      </c>
      <c r="H224">
        <f t="shared" si="23"/>
        <v>0.51840421665375591</v>
      </c>
      <c r="I224">
        <f t="shared" si="18"/>
        <v>-1.3273200000000001</v>
      </c>
      <c r="J224">
        <f t="shared" si="19"/>
        <v>0.26518701099989678</v>
      </c>
      <c r="K224">
        <f t="shared" si="20"/>
        <v>1.3319999999999999E-2</v>
      </c>
      <c r="L224">
        <f t="shared" si="21"/>
        <v>1.0134091063928428</v>
      </c>
      <c r="N224" t="s">
        <v>245</v>
      </c>
    </row>
    <row r="225" spans="1:14" x14ac:dyDescent="0.3">
      <c r="A225" t="s">
        <v>230</v>
      </c>
      <c r="B225" t="str">
        <f t="shared" si="22"/>
        <v>Income: Missing (Ref: Medium)</v>
      </c>
      <c r="C225" t="s">
        <v>225</v>
      </c>
      <c r="D225">
        <v>2.0129999999999999</v>
      </c>
      <c r="E225">
        <v>0.27300000000000002</v>
      </c>
      <c r="F225">
        <v>7.3849999999999998</v>
      </c>
      <c r="G225">
        <v>0</v>
      </c>
      <c r="H225">
        <f t="shared" si="23"/>
        <v>7.4857409178993457</v>
      </c>
      <c r="I225">
        <f t="shared" si="18"/>
        <v>1.4779199999999999</v>
      </c>
      <c r="J225">
        <f t="shared" si="19"/>
        <v>4.383817850137345</v>
      </c>
      <c r="K225">
        <f t="shared" si="20"/>
        <v>2.5480799999999997</v>
      </c>
      <c r="L225">
        <f t="shared" si="21"/>
        <v>12.782537734353381</v>
      </c>
      <c r="N225" t="s">
        <v>258</v>
      </c>
    </row>
    <row r="226" spans="1:14" x14ac:dyDescent="0.3">
      <c r="A226" t="s">
        <v>230</v>
      </c>
      <c r="B226" t="str">
        <f t="shared" si="22"/>
        <v>Household member (Ref: Anchor)</v>
      </c>
      <c r="C226" t="s">
        <v>223</v>
      </c>
      <c r="D226">
        <v>3.4000000000000002E-2</v>
      </c>
      <c r="E226">
        <v>7.1999999999999995E-2</v>
      </c>
      <c r="F226">
        <v>0.47299999999999998</v>
      </c>
      <c r="G226">
        <v>0.63600000000000001</v>
      </c>
      <c r="H226">
        <f t="shared" si="23"/>
        <v>1.0345846067281179</v>
      </c>
      <c r="I226">
        <f t="shared" si="18"/>
        <v>-0.10711999999999999</v>
      </c>
      <c r="J226">
        <f t="shared" si="19"/>
        <v>0.89841785637867277</v>
      </c>
      <c r="K226">
        <f t="shared" si="20"/>
        <v>0.17512</v>
      </c>
      <c r="L226">
        <f t="shared" si="21"/>
        <v>1.1913891747356675</v>
      </c>
      <c r="N226" t="s">
        <v>254</v>
      </c>
    </row>
    <row r="227" spans="1:14" x14ac:dyDescent="0.3">
      <c r="A227" t="s">
        <v>230</v>
      </c>
      <c r="B227" t="str">
        <f t="shared" si="22"/>
        <v>Age: Young tertile (Ref: Medium)</v>
      </c>
      <c r="C227" t="s">
        <v>237</v>
      </c>
      <c r="D227">
        <v>-0.441</v>
      </c>
      <c r="E227">
        <v>0.10199999999999999</v>
      </c>
      <c r="F227">
        <v>-4.3029999999999999</v>
      </c>
      <c r="G227">
        <v>0</v>
      </c>
      <c r="H227">
        <f t="shared" si="23"/>
        <v>0.64339270657295622</v>
      </c>
      <c r="I227">
        <f t="shared" si="18"/>
        <v>-0.64091999999999993</v>
      </c>
      <c r="J227">
        <f t="shared" si="19"/>
        <v>0.52680753809466585</v>
      </c>
      <c r="K227">
        <f t="shared" si="20"/>
        <v>-0.24108000000000002</v>
      </c>
      <c r="L227">
        <f t="shared" si="21"/>
        <v>0.78577876157286053</v>
      </c>
      <c r="N227" t="s">
        <v>244</v>
      </c>
    </row>
    <row r="228" spans="1:14" x14ac:dyDescent="0.3">
      <c r="A228" t="s">
        <v>230</v>
      </c>
      <c r="B228" t="str">
        <f t="shared" si="22"/>
        <v>Age: Old tertile</v>
      </c>
      <c r="C228" t="s">
        <v>223</v>
      </c>
      <c r="D228">
        <v>0.39100000000000001</v>
      </c>
      <c r="E228">
        <v>0.114</v>
      </c>
      <c r="F228">
        <v>3.4239999999999999</v>
      </c>
      <c r="G228">
        <v>1E-3</v>
      </c>
      <c r="H228">
        <f t="shared" si="23"/>
        <v>1.4784585134131472</v>
      </c>
      <c r="I228">
        <f t="shared" si="18"/>
        <v>0.16756000000000001</v>
      </c>
      <c r="J228">
        <f t="shared" si="19"/>
        <v>1.182416233030597</v>
      </c>
      <c r="K228">
        <f t="shared" si="20"/>
        <v>0.61443999999999999</v>
      </c>
      <c r="L228">
        <f t="shared" si="21"/>
        <v>1.8486210818345985</v>
      </c>
      <c r="N228" t="s">
        <v>251</v>
      </c>
    </row>
    <row r="229" spans="1:14" x14ac:dyDescent="0.3">
      <c r="A229" t="s">
        <v>230</v>
      </c>
      <c r="B229" t="str">
        <f t="shared" si="22"/>
        <v>Gender: Female (Ref: Not female</v>
      </c>
      <c r="C229" t="s">
        <v>223</v>
      </c>
      <c r="D229">
        <v>-0.38200000000000001</v>
      </c>
      <c r="E229">
        <v>7.0000000000000007E-2</v>
      </c>
      <c r="F229">
        <v>-5.47</v>
      </c>
      <c r="G229">
        <v>0</v>
      </c>
      <c r="H229">
        <f t="shared" si="23"/>
        <v>0.68249505320539006</v>
      </c>
      <c r="I229">
        <f t="shared" si="18"/>
        <v>-0.51919999999999999</v>
      </c>
      <c r="J229">
        <f t="shared" si="19"/>
        <v>0.59499635470588841</v>
      </c>
      <c r="K229">
        <f t="shared" si="20"/>
        <v>-0.24479999999999999</v>
      </c>
      <c r="L229">
        <f t="shared" si="21"/>
        <v>0.78286109480465094</v>
      </c>
      <c r="N229" t="s">
        <v>114</v>
      </c>
    </row>
    <row r="230" spans="1:14" x14ac:dyDescent="0.3">
      <c r="A230" t="s">
        <v>230</v>
      </c>
      <c r="B230" t="str">
        <f t="shared" si="22"/>
        <v>Migration (Ref: No)</v>
      </c>
      <c r="C230" t="s">
        <v>223</v>
      </c>
      <c r="D230">
        <v>7.0000000000000001E-3</v>
      </c>
      <c r="E230">
        <v>0.10100000000000001</v>
      </c>
      <c r="F230">
        <v>7.0000000000000007E-2</v>
      </c>
      <c r="G230">
        <v>0.94499999999999995</v>
      </c>
      <c r="H230">
        <f t="shared" si="23"/>
        <v>1.0070245572668486</v>
      </c>
      <c r="I230">
        <f t="shared" si="18"/>
        <v>-0.19095999999999999</v>
      </c>
      <c r="J230">
        <f t="shared" si="19"/>
        <v>0.82616563411563482</v>
      </c>
      <c r="K230">
        <f t="shared" si="20"/>
        <v>0.20496</v>
      </c>
      <c r="L230">
        <f t="shared" si="21"/>
        <v>1.2274759649425862</v>
      </c>
      <c r="N230" t="s">
        <v>253</v>
      </c>
    </row>
    <row r="231" spans="1:14" x14ac:dyDescent="0.3">
      <c r="A231" t="s">
        <v>230</v>
      </c>
      <c r="B231" t="str">
        <f t="shared" si="22"/>
        <v>Education: Tertiary (Ref: Non-tert.)</v>
      </c>
      <c r="C231" t="s">
        <v>223</v>
      </c>
      <c r="D231">
        <v>-0.151</v>
      </c>
      <c r="E231">
        <v>7.3999999999999996E-2</v>
      </c>
      <c r="F231">
        <v>-2.024</v>
      </c>
      <c r="G231">
        <v>4.2999999999999997E-2</v>
      </c>
      <c r="H231">
        <f t="shared" si="23"/>
        <v>0.85984769865920552</v>
      </c>
      <c r="I231">
        <f t="shared" si="18"/>
        <v>-0.29603999999999997</v>
      </c>
      <c r="J231">
        <f t="shared" si="19"/>
        <v>0.74375767711808083</v>
      </c>
      <c r="K231">
        <f t="shared" si="20"/>
        <v>-5.9599999999999931E-3</v>
      </c>
      <c r="L231">
        <f t="shared" si="21"/>
        <v>0.99405772556772243</v>
      </c>
      <c r="N231" t="s">
        <v>252</v>
      </c>
    </row>
    <row r="232" spans="1:14" x14ac:dyDescent="0.3">
      <c r="A232" t="s">
        <v>230</v>
      </c>
      <c r="B232" t="str">
        <f t="shared" si="22"/>
        <v>Education: Missing</v>
      </c>
      <c r="C232" t="s">
        <v>223</v>
      </c>
      <c r="D232">
        <v>0.30599999999999999</v>
      </c>
      <c r="E232">
        <v>0.221</v>
      </c>
      <c r="F232">
        <v>1.385</v>
      </c>
      <c r="G232">
        <v>0.16600000000000001</v>
      </c>
      <c r="H232">
        <f t="shared" si="23"/>
        <v>1.3579823065478924</v>
      </c>
      <c r="I232">
        <f t="shared" si="18"/>
        <v>-0.12716</v>
      </c>
      <c r="J232">
        <f t="shared" si="19"/>
        <v>0.8805927664823312</v>
      </c>
      <c r="K232">
        <f t="shared" si="20"/>
        <v>0.73916000000000004</v>
      </c>
      <c r="L232">
        <f t="shared" si="21"/>
        <v>2.0941756679012373</v>
      </c>
      <c r="N232" t="s">
        <v>250</v>
      </c>
    </row>
    <row r="233" spans="1:14" x14ac:dyDescent="0.3">
      <c r="A233" t="s">
        <v>230</v>
      </c>
      <c r="B233" t="str">
        <f t="shared" si="22"/>
        <v>Employment: Part-time</v>
      </c>
      <c r="C233" t="s">
        <v>223</v>
      </c>
      <c r="D233">
        <v>-3.3000000000000002E-2</v>
      </c>
      <c r="E233">
        <v>0.108</v>
      </c>
      <c r="F233">
        <v>-0.30399999999999999</v>
      </c>
      <c r="G233">
        <v>0.76100000000000001</v>
      </c>
      <c r="H233">
        <f t="shared" si="23"/>
        <v>0.96753855958903201</v>
      </c>
      <c r="I233">
        <f t="shared" si="18"/>
        <v>-0.24468000000000001</v>
      </c>
      <c r="J233">
        <f t="shared" si="19"/>
        <v>0.78295504377285285</v>
      </c>
      <c r="K233">
        <f t="shared" si="20"/>
        <v>0.17868000000000001</v>
      </c>
      <c r="L233">
        <f t="shared" si="21"/>
        <v>1.1956380787594807</v>
      </c>
      <c r="N233" t="s">
        <v>248</v>
      </c>
    </row>
    <row r="234" spans="1:14" x14ac:dyDescent="0.3">
      <c r="A234" t="s">
        <v>230</v>
      </c>
      <c r="B234" t="str">
        <f t="shared" si="22"/>
        <v>Employment: None</v>
      </c>
      <c r="C234" t="s">
        <v>223</v>
      </c>
      <c r="D234">
        <v>0.34</v>
      </c>
      <c r="E234">
        <v>0.127</v>
      </c>
      <c r="F234">
        <v>2.6680000000000001</v>
      </c>
      <c r="G234">
        <v>8.0000000000000002E-3</v>
      </c>
      <c r="H234">
        <f t="shared" si="23"/>
        <v>1.4049475905635938</v>
      </c>
      <c r="I234">
        <f t="shared" si="18"/>
        <v>9.1080000000000022E-2</v>
      </c>
      <c r="J234">
        <f t="shared" si="19"/>
        <v>1.0953566302838404</v>
      </c>
      <c r="K234">
        <f t="shared" si="20"/>
        <v>0.58892</v>
      </c>
      <c r="L234">
        <f t="shared" si="21"/>
        <v>1.8020411596166224</v>
      </c>
      <c r="N234" t="s">
        <v>249</v>
      </c>
    </row>
    <row r="235" spans="1:14" x14ac:dyDescent="0.3">
      <c r="A235" t="s">
        <v>230</v>
      </c>
      <c r="B235" t="str">
        <f t="shared" si="22"/>
        <v>Employment: Retired (Ref: Full)</v>
      </c>
      <c r="C235" t="s">
        <v>223</v>
      </c>
      <c r="D235">
        <v>0.42199999999999999</v>
      </c>
      <c r="E235">
        <v>0.124</v>
      </c>
      <c r="F235">
        <v>3.411</v>
      </c>
      <c r="G235">
        <v>1E-3</v>
      </c>
      <c r="H235">
        <f t="shared" si="23"/>
        <v>1.5250085246832794</v>
      </c>
      <c r="I235">
        <f t="shared" si="18"/>
        <v>0.17895999999999998</v>
      </c>
      <c r="J235">
        <f t="shared" si="19"/>
        <v>1.1959729042949208</v>
      </c>
      <c r="K235">
        <f t="shared" si="20"/>
        <v>0.66503999999999996</v>
      </c>
      <c r="L235">
        <f t="shared" si="21"/>
        <v>1.9445683025132976</v>
      </c>
      <c r="N235" t="s">
        <v>256</v>
      </c>
    </row>
    <row r="236" spans="1:14" x14ac:dyDescent="0.3">
      <c r="A236" t="s">
        <v>230</v>
      </c>
      <c r="B236" t="str">
        <f t="shared" si="22"/>
        <v>Employment: Missing</v>
      </c>
      <c r="C236" t="s">
        <v>223</v>
      </c>
      <c r="D236">
        <v>0.79300000000000004</v>
      </c>
      <c r="E236">
        <v>0.27</v>
      </c>
      <c r="F236">
        <v>2.9420000000000002</v>
      </c>
      <c r="G236">
        <v>3.0000000000000001E-3</v>
      </c>
      <c r="H236">
        <f t="shared" si="23"/>
        <v>2.2100165407413477</v>
      </c>
      <c r="I236">
        <f t="shared" si="18"/>
        <v>0.26380000000000003</v>
      </c>
      <c r="J236">
        <f t="shared" si="19"/>
        <v>1.3018677967024619</v>
      </c>
      <c r="K236">
        <f t="shared" si="20"/>
        <v>1.3222</v>
      </c>
      <c r="L236">
        <f t="shared" si="21"/>
        <v>3.7516659700175503</v>
      </c>
      <c r="N236" t="s">
        <v>247</v>
      </c>
    </row>
    <row r="237" spans="1:14" x14ac:dyDescent="0.3">
      <c r="A237" t="s">
        <v>230</v>
      </c>
      <c r="B237" t="str">
        <f t="shared" si="22"/>
        <v>Child in household</v>
      </c>
      <c r="C237" t="s">
        <v>223</v>
      </c>
      <c r="D237">
        <v>-6.8000000000000005E-2</v>
      </c>
      <c r="E237">
        <v>0.112</v>
      </c>
      <c r="F237">
        <v>-0.60899999999999999</v>
      </c>
      <c r="G237">
        <v>0.54300000000000004</v>
      </c>
      <c r="H237">
        <f t="shared" si="23"/>
        <v>0.93426047357721353</v>
      </c>
      <c r="I237">
        <f t="shared" si="18"/>
        <v>-0.28752</v>
      </c>
      <c r="J237">
        <f t="shared" si="19"/>
        <v>0.75012156418967268</v>
      </c>
      <c r="K237">
        <f t="shared" si="20"/>
        <v>0.15151999999999999</v>
      </c>
      <c r="L237">
        <f t="shared" si="21"/>
        <v>1.1636015736084289</v>
      </c>
      <c r="N237" t="s">
        <v>260</v>
      </c>
    </row>
    <row r="238" spans="1:14" x14ac:dyDescent="0.3">
      <c r="A238" t="s">
        <v>230</v>
      </c>
      <c r="B238" t="str">
        <f t="shared" si="22"/>
        <v>Child in household: Missing (Ref: No child)</v>
      </c>
      <c r="C238" t="s">
        <v>223</v>
      </c>
      <c r="D238">
        <v>0.106</v>
      </c>
      <c r="E238">
        <v>0.189</v>
      </c>
      <c r="F238">
        <v>0.56299999999999994</v>
      </c>
      <c r="G238">
        <v>0.57299999999999995</v>
      </c>
      <c r="H238">
        <f t="shared" si="23"/>
        <v>1.1118218765065309</v>
      </c>
      <c r="I238">
        <f t="shared" si="18"/>
        <v>-0.26444000000000001</v>
      </c>
      <c r="J238">
        <f t="shared" si="19"/>
        <v>0.76763570562819383</v>
      </c>
      <c r="K238">
        <f t="shared" si="20"/>
        <v>0.47643999999999997</v>
      </c>
      <c r="L238">
        <f t="shared" si="21"/>
        <v>1.6103314059198213</v>
      </c>
      <c r="N238" t="s">
        <v>261</v>
      </c>
    </row>
    <row r="239" spans="1:14" x14ac:dyDescent="0.3">
      <c r="A239" t="s">
        <v>230</v>
      </c>
      <c r="B239" t="str">
        <f t="shared" si="22"/>
        <v>Income: Low tertile</v>
      </c>
      <c r="C239" t="s">
        <v>223</v>
      </c>
      <c r="D239">
        <v>0.11</v>
      </c>
      <c r="E239">
        <v>8.8999999999999996E-2</v>
      </c>
      <c r="F239">
        <v>1.2270000000000001</v>
      </c>
      <c r="G239">
        <v>0.22</v>
      </c>
      <c r="H239">
        <f t="shared" si="23"/>
        <v>1.1162780704588713</v>
      </c>
      <c r="I239">
        <f t="shared" si="18"/>
        <v>-6.4439999999999983E-2</v>
      </c>
      <c r="J239">
        <f t="shared" si="19"/>
        <v>0.93759236811650426</v>
      </c>
      <c r="K239">
        <f t="shared" si="20"/>
        <v>0.28443999999999997</v>
      </c>
      <c r="L239">
        <f t="shared" si="21"/>
        <v>1.3290175698534958</v>
      </c>
      <c r="N239" t="s">
        <v>246</v>
      </c>
    </row>
    <row r="240" spans="1:14" x14ac:dyDescent="0.3">
      <c r="A240" t="s">
        <v>230</v>
      </c>
      <c r="B240" t="str">
        <f t="shared" si="22"/>
        <v>Income: High tertile</v>
      </c>
      <c r="C240" t="s">
        <v>223</v>
      </c>
      <c r="D240">
        <v>-4.1000000000000002E-2</v>
      </c>
      <c r="E240">
        <v>9.2999999999999999E-2</v>
      </c>
      <c r="F240">
        <v>-0.441</v>
      </c>
      <c r="G240">
        <v>0.65900000000000003</v>
      </c>
      <c r="H240">
        <f t="shared" si="23"/>
        <v>0.9598291299477989</v>
      </c>
      <c r="I240">
        <f t="shared" si="18"/>
        <v>-0.22328000000000001</v>
      </c>
      <c r="J240">
        <f t="shared" si="19"/>
        <v>0.79989084849832659</v>
      </c>
      <c r="K240">
        <f t="shared" si="20"/>
        <v>0.14127999999999999</v>
      </c>
      <c r="L240">
        <f t="shared" si="21"/>
        <v>1.1517470920262391</v>
      </c>
      <c r="N240" t="s">
        <v>245</v>
      </c>
    </row>
    <row r="241" spans="1:14" x14ac:dyDescent="0.3">
      <c r="A241" t="s">
        <v>230</v>
      </c>
      <c r="B241" t="str">
        <f t="shared" si="22"/>
        <v>Income: Missing (Ref: Medium)</v>
      </c>
      <c r="C241" s="75" t="s">
        <v>223</v>
      </c>
      <c r="D241" s="75">
        <v>0.32</v>
      </c>
      <c r="E241" s="75">
        <v>0.13700000000000001</v>
      </c>
      <c r="F241" s="75">
        <v>2.347</v>
      </c>
      <c r="G241" s="75">
        <v>1.9E-2</v>
      </c>
      <c r="H241">
        <f t="shared" si="23"/>
        <v>1.3771277643359572</v>
      </c>
      <c r="I241">
        <f t="shared" si="18"/>
        <v>5.147999999999997E-2</v>
      </c>
      <c r="J241">
        <f t="shared" si="19"/>
        <v>1.0528281295189759</v>
      </c>
      <c r="K241">
        <f t="shared" si="20"/>
        <v>0.58852000000000004</v>
      </c>
      <c r="L241">
        <f t="shared" si="21"/>
        <v>1.8013204872968487</v>
      </c>
      <c r="N241" t="s">
        <v>258</v>
      </c>
    </row>
    <row r="242" spans="1:14" x14ac:dyDescent="0.3">
      <c r="A242" t="s">
        <v>231</v>
      </c>
      <c r="B242" t="str">
        <f t="shared" si="22"/>
        <v>Household member (Ref: Anchor)</v>
      </c>
      <c r="C242" t="s">
        <v>224</v>
      </c>
      <c r="D242">
        <v>0.155</v>
      </c>
      <c r="E242">
        <v>0.20599999999999999</v>
      </c>
      <c r="F242">
        <v>0.753</v>
      </c>
      <c r="G242">
        <v>0.45200000000000001</v>
      </c>
      <c r="H242">
        <f t="shared" si="23"/>
        <v>1.167657961105125</v>
      </c>
      <c r="I242">
        <f t="shared" si="18"/>
        <v>-0.24875999999999995</v>
      </c>
      <c r="J242">
        <f t="shared" si="19"/>
        <v>0.77976709503201225</v>
      </c>
      <c r="K242">
        <f t="shared" si="20"/>
        <v>0.55875999999999992</v>
      </c>
      <c r="L242">
        <f t="shared" si="21"/>
        <v>1.748503011756612</v>
      </c>
      <c r="N242" t="s">
        <v>254</v>
      </c>
    </row>
    <row r="243" spans="1:14" x14ac:dyDescent="0.3">
      <c r="A243" t="s">
        <v>231</v>
      </c>
      <c r="B243" t="str">
        <f t="shared" si="22"/>
        <v>Age: Young tertile (Ref: Medium)</v>
      </c>
      <c r="C243" t="s">
        <v>224</v>
      </c>
      <c r="D243">
        <v>-0.379</v>
      </c>
      <c r="E243">
        <v>0.84199999999999997</v>
      </c>
      <c r="F243">
        <v>-0.44900000000000001</v>
      </c>
      <c r="G243">
        <v>0.65300000000000002</v>
      </c>
      <c r="H243">
        <f t="shared" si="23"/>
        <v>0.68454561266627822</v>
      </c>
      <c r="I243">
        <f t="shared" si="18"/>
        <v>-2.0293200000000002</v>
      </c>
      <c r="J243">
        <f t="shared" si="19"/>
        <v>0.13142485967453035</v>
      </c>
      <c r="K243">
        <f t="shared" si="20"/>
        <v>1.27132</v>
      </c>
      <c r="L243">
        <f t="shared" si="21"/>
        <v>3.565555991318007</v>
      </c>
      <c r="N243" t="s">
        <v>244</v>
      </c>
    </row>
    <row r="244" spans="1:14" x14ac:dyDescent="0.3">
      <c r="A244" t="s">
        <v>231</v>
      </c>
      <c r="B244" t="str">
        <f t="shared" si="22"/>
        <v>Age: Old tertile</v>
      </c>
      <c r="C244" t="s">
        <v>224</v>
      </c>
      <c r="D244">
        <v>1.04</v>
      </c>
      <c r="E244">
        <v>0.5</v>
      </c>
      <c r="F244">
        <v>2.081</v>
      </c>
      <c r="G244">
        <v>3.6999999999999998E-2</v>
      </c>
      <c r="H244">
        <f t="shared" si="23"/>
        <v>2.8292170143515598</v>
      </c>
      <c r="I244">
        <f t="shared" si="18"/>
        <v>6.0000000000000053E-2</v>
      </c>
      <c r="J244">
        <f t="shared" si="19"/>
        <v>1.0618365465453596</v>
      </c>
      <c r="K244">
        <f t="shared" si="20"/>
        <v>2.02</v>
      </c>
      <c r="L244">
        <f t="shared" si="21"/>
        <v>7.5383249336619222</v>
      </c>
      <c r="N244" t="s">
        <v>251</v>
      </c>
    </row>
    <row r="245" spans="1:14" x14ac:dyDescent="0.3">
      <c r="A245" t="s">
        <v>231</v>
      </c>
      <c r="B245" t="str">
        <f t="shared" si="22"/>
        <v>Gender: Female (Ref: Not female</v>
      </c>
      <c r="C245" t="s">
        <v>224</v>
      </c>
      <c r="D245">
        <v>0.15</v>
      </c>
      <c r="E245">
        <v>0.185</v>
      </c>
      <c r="F245">
        <v>0.80800000000000005</v>
      </c>
      <c r="G245">
        <v>0.41899999999999998</v>
      </c>
      <c r="H245">
        <f t="shared" si="23"/>
        <v>1.1618342427282831</v>
      </c>
      <c r="I245">
        <f t="shared" si="18"/>
        <v>-0.21259999999999998</v>
      </c>
      <c r="J245">
        <f t="shared" si="19"/>
        <v>0.80847946433248719</v>
      </c>
      <c r="K245">
        <f t="shared" si="20"/>
        <v>0.51259999999999994</v>
      </c>
      <c r="L245">
        <f t="shared" si="21"/>
        <v>1.6696265856183499</v>
      </c>
      <c r="N245" t="s">
        <v>114</v>
      </c>
    </row>
    <row r="246" spans="1:14" x14ac:dyDescent="0.3">
      <c r="A246" t="s">
        <v>231</v>
      </c>
      <c r="B246" t="str">
        <f t="shared" si="22"/>
        <v>Migration (Ref: No)</v>
      </c>
      <c r="C246" t="s">
        <v>224</v>
      </c>
      <c r="D246">
        <v>0.105</v>
      </c>
      <c r="E246">
        <v>0.26600000000000001</v>
      </c>
      <c r="F246">
        <v>0.39600000000000002</v>
      </c>
      <c r="G246">
        <v>0.69199999999999995</v>
      </c>
      <c r="H246">
        <f t="shared" si="23"/>
        <v>1.1107106103557052</v>
      </c>
      <c r="I246">
        <f t="shared" si="18"/>
        <v>-0.41636000000000006</v>
      </c>
      <c r="J246">
        <f t="shared" si="19"/>
        <v>0.6594428283291669</v>
      </c>
      <c r="K246">
        <f t="shared" si="20"/>
        <v>0.62636000000000003</v>
      </c>
      <c r="L246">
        <f t="shared" si="21"/>
        <v>1.8707885004717064</v>
      </c>
      <c r="N246" t="s">
        <v>253</v>
      </c>
    </row>
    <row r="247" spans="1:14" x14ac:dyDescent="0.3">
      <c r="A247" t="s">
        <v>231</v>
      </c>
      <c r="B247" t="str">
        <f t="shared" si="22"/>
        <v>Education: Tertiary (Ref: Non-tert.)</v>
      </c>
      <c r="C247" t="s">
        <v>224</v>
      </c>
      <c r="D247">
        <v>-2.5000000000000001E-2</v>
      </c>
      <c r="E247">
        <v>0.23799999999999999</v>
      </c>
      <c r="F247">
        <v>-0.105</v>
      </c>
      <c r="G247">
        <v>0.91700000000000004</v>
      </c>
      <c r="H247">
        <f t="shared" si="23"/>
        <v>0.97530991202833262</v>
      </c>
      <c r="I247">
        <f t="shared" si="18"/>
        <v>-0.49147999999999997</v>
      </c>
      <c r="J247">
        <f t="shared" si="19"/>
        <v>0.61172037773857124</v>
      </c>
      <c r="K247">
        <f t="shared" si="20"/>
        <v>0.44147999999999993</v>
      </c>
      <c r="L247">
        <f t="shared" si="21"/>
        <v>1.5550069265589146</v>
      </c>
      <c r="N247" t="s">
        <v>252</v>
      </c>
    </row>
    <row r="248" spans="1:14" x14ac:dyDescent="0.3">
      <c r="A248" t="s">
        <v>231</v>
      </c>
      <c r="B248" t="str">
        <f t="shared" si="22"/>
        <v>Education: Missing</v>
      </c>
      <c r="C248" t="s">
        <v>224</v>
      </c>
      <c r="D248">
        <v>0.47099999999999997</v>
      </c>
      <c r="E248">
        <v>0.33400000000000002</v>
      </c>
      <c r="F248">
        <v>1.41</v>
      </c>
      <c r="G248">
        <v>0.159</v>
      </c>
      <c r="H248">
        <f t="shared" si="23"/>
        <v>1.6015949876744064</v>
      </c>
      <c r="I248">
        <f t="shared" si="18"/>
        <v>-0.18364000000000003</v>
      </c>
      <c r="J248">
        <f t="shared" si="19"/>
        <v>0.83223535463195908</v>
      </c>
      <c r="K248">
        <f t="shared" si="20"/>
        <v>1.12564</v>
      </c>
      <c r="L248">
        <f t="shared" si="21"/>
        <v>3.0821888186643478</v>
      </c>
      <c r="N248" t="s">
        <v>250</v>
      </c>
    </row>
    <row r="249" spans="1:14" x14ac:dyDescent="0.3">
      <c r="A249" t="s">
        <v>231</v>
      </c>
      <c r="B249" t="str">
        <f t="shared" si="22"/>
        <v>Employment: Part-time</v>
      </c>
      <c r="C249" t="s">
        <v>224</v>
      </c>
      <c r="E249">
        <v>1.6319999999999999</v>
      </c>
      <c r="F249">
        <v>71706.712</v>
      </c>
      <c r="G249">
        <v>0</v>
      </c>
      <c r="H249">
        <f t="shared" si="23"/>
        <v>1</v>
      </c>
      <c r="I249">
        <f t="shared" si="18"/>
        <v>-3.1987199999999998</v>
      </c>
      <c r="J249">
        <f t="shared" si="19"/>
        <v>4.0814413006108018E-2</v>
      </c>
      <c r="K249">
        <f t="shared" si="20"/>
        <v>3.1987199999999998</v>
      </c>
      <c r="L249">
        <f t="shared" si="21"/>
        <v>24.501148646933782</v>
      </c>
      <c r="N249" t="s">
        <v>248</v>
      </c>
    </row>
    <row r="250" spans="1:14" x14ac:dyDescent="0.3">
      <c r="A250" t="s">
        <v>231</v>
      </c>
      <c r="B250" t="str">
        <f t="shared" si="22"/>
        <v>Employment: None</v>
      </c>
      <c r="C250" t="s">
        <v>224</v>
      </c>
      <c r="E250">
        <v>0.627</v>
      </c>
      <c r="G250">
        <v>0</v>
      </c>
      <c r="H250">
        <f t="shared" si="23"/>
        <v>1</v>
      </c>
      <c r="I250">
        <f t="shared" si="18"/>
        <v>-1.22892</v>
      </c>
      <c r="J250">
        <f t="shared" si="19"/>
        <v>0.29260842419117</v>
      </c>
      <c r="K250">
        <f t="shared" si="20"/>
        <v>1.22892</v>
      </c>
      <c r="L250">
        <f t="shared" si="21"/>
        <v>3.4175366029334464</v>
      </c>
      <c r="N250" t="s">
        <v>249</v>
      </c>
    </row>
    <row r="251" spans="1:14" x14ac:dyDescent="0.3">
      <c r="A251" t="s">
        <v>231</v>
      </c>
      <c r="B251" t="str">
        <f t="shared" si="22"/>
        <v>Employment: Retired (Ref: Full)</v>
      </c>
      <c r="C251" t="s">
        <v>224</v>
      </c>
      <c r="E251">
        <v>0.46500000000000002</v>
      </c>
      <c r="G251">
        <v>0</v>
      </c>
      <c r="H251">
        <f t="shared" si="23"/>
        <v>1</v>
      </c>
      <c r="I251">
        <f t="shared" si="18"/>
        <v>-0.91139999999999999</v>
      </c>
      <c r="J251">
        <f t="shared" si="19"/>
        <v>0.40196108440970513</v>
      </c>
      <c r="K251">
        <f t="shared" si="20"/>
        <v>0.91139999999999999</v>
      </c>
      <c r="L251">
        <f t="shared" si="21"/>
        <v>2.4878030207041992</v>
      </c>
      <c r="N251" t="s">
        <v>256</v>
      </c>
    </row>
    <row r="252" spans="1:14" x14ac:dyDescent="0.3">
      <c r="A252" t="s">
        <v>231</v>
      </c>
      <c r="B252" t="str">
        <f t="shared" si="22"/>
        <v>Employment: Missing</v>
      </c>
      <c r="C252" t="s">
        <v>224</v>
      </c>
      <c r="E252">
        <v>0.38200000000000001</v>
      </c>
      <c r="G252">
        <v>0</v>
      </c>
      <c r="H252">
        <f t="shared" si="23"/>
        <v>1</v>
      </c>
      <c r="I252">
        <f t="shared" si="18"/>
        <v>-0.74872000000000005</v>
      </c>
      <c r="J252">
        <f t="shared" si="19"/>
        <v>0.47297156905636012</v>
      </c>
      <c r="K252">
        <f t="shared" si="20"/>
        <v>0.74872000000000005</v>
      </c>
      <c r="L252">
        <f t="shared" si="21"/>
        <v>2.1142919900981156</v>
      </c>
      <c r="N252" t="s">
        <v>247</v>
      </c>
    </row>
    <row r="253" spans="1:14" x14ac:dyDescent="0.3">
      <c r="A253" t="s">
        <v>231</v>
      </c>
      <c r="B253" t="str">
        <f t="shared" si="22"/>
        <v>Child in household</v>
      </c>
      <c r="C253" t="s">
        <v>224</v>
      </c>
      <c r="D253">
        <v>-0.28699999999999998</v>
      </c>
      <c r="E253">
        <v>0.75700000000000001</v>
      </c>
      <c r="F253">
        <v>-0.379</v>
      </c>
      <c r="G253">
        <v>0.70399999999999996</v>
      </c>
      <c r="H253">
        <f t="shared" si="23"/>
        <v>0.75051172883706796</v>
      </c>
      <c r="I253">
        <f t="shared" si="18"/>
        <v>-1.7707199999999998</v>
      </c>
      <c r="J253">
        <f t="shared" si="19"/>
        <v>0.17021039321317169</v>
      </c>
      <c r="K253">
        <f t="shared" si="20"/>
        <v>1.19672</v>
      </c>
      <c r="L253">
        <f t="shared" si="21"/>
        <v>3.3092447792924573</v>
      </c>
      <c r="N253" t="s">
        <v>260</v>
      </c>
    </row>
    <row r="254" spans="1:14" x14ac:dyDescent="0.3">
      <c r="A254" t="s">
        <v>231</v>
      </c>
      <c r="B254" t="str">
        <f t="shared" si="22"/>
        <v>Child in household: Missing (Ref: No child)</v>
      </c>
      <c r="C254" t="s">
        <v>224</v>
      </c>
      <c r="D254">
        <v>0.33100000000000002</v>
      </c>
      <c r="E254">
        <v>0.374</v>
      </c>
      <c r="F254">
        <v>0.88400000000000001</v>
      </c>
      <c r="G254">
        <v>0.377</v>
      </c>
      <c r="H254">
        <f t="shared" si="23"/>
        <v>1.3923597923081943</v>
      </c>
      <c r="I254">
        <f t="shared" si="18"/>
        <v>-0.40204000000000001</v>
      </c>
      <c r="J254">
        <f t="shared" si="19"/>
        <v>0.66895398699569653</v>
      </c>
      <c r="K254">
        <f t="shared" si="20"/>
        <v>1.0640400000000001</v>
      </c>
      <c r="L254">
        <f t="shared" si="21"/>
        <v>2.8980555149138976</v>
      </c>
      <c r="N254" t="s">
        <v>261</v>
      </c>
    </row>
    <row r="255" spans="1:14" x14ac:dyDescent="0.3">
      <c r="A255" t="s">
        <v>231</v>
      </c>
      <c r="B255" t="str">
        <f t="shared" si="22"/>
        <v>Income: Low tertile</v>
      </c>
      <c r="C255" t="s">
        <v>224</v>
      </c>
      <c r="D255">
        <v>-5.6000000000000001E-2</v>
      </c>
      <c r="E255">
        <v>0.25700000000000001</v>
      </c>
      <c r="F255">
        <v>-0.218</v>
      </c>
      <c r="G255">
        <v>0.82699999999999996</v>
      </c>
      <c r="H255">
        <f t="shared" si="23"/>
        <v>0.94553913589039629</v>
      </c>
      <c r="I255">
        <f t="shared" si="18"/>
        <v>-0.55972000000000011</v>
      </c>
      <c r="J255">
        <f t="shared" si="19"/>
        <v>0.57136902478017781</v>
      </c>
      <c r="K255">
        <f t="shared" si="20"/>
        <v>0.44772000000000006</v>
      </c>
      <c r="L255">
        <f t="shared" si="21"/>
        <v>1.5647405069680176</v>
      </c>
      <c r="N255" t="s">
        <v>246</v>
      </c>
    </row>
    <row r="256" spans="1:14" x14ac:dyDescent="0.3">
      <c r="A256" t="s">
        <v>231</v>
      </c>
      <c r="B256" t="str">
        <f t="shared" si="22"/>
        <v>Income: High tertile</v>
      </c>
      <c r="C256" t="s">
        <v>224</v>
      </c>
      <c r="D256">
        <v>-0.14799999999999999</v>
      </c>
      <c r="E256">
        <v>0.39500000000000002</v>
      </c>
      <c r="F256">
        <v>-0.375</v>
      </c>
      <c r="G256">
        <v>0.70799999999999996</v>
      </c>
      <c r="H256">
        <f t="shared" si="23"/>
        <v>0.8624311149420455</v>
      </c>
      <c r="I256">
        <f t="shared" si="18"/>
        <v>-0.92220000000000002</v>
      </c>
      <c r="J256">
        <f t="shared" si="19"/>
        <v>0.397643262903358</v>
      </c>
      <c r="K256">
        <f t="shared" si="20"/>
        <v>0.62619999999999998</v>
      </c>
      <c r="L256">
        <f t="shared" si="21"/>
        <v>1.8704891982564467</v>
      </c>
      <c r="N256" t="s">
        <v>245</v>
      </c>
    </row>
    <row r="257" spans="1:14" x14ac:dyDescent="0.3">
      <c r="A257" t="s">
        <v>231</v>
      </c>
      <c r="B257" t="str">
        <f t="shared" si="22"/>
        <v>Income: Missing (Ref: Medium)</v>
      </c>
      <c r="C257" t="s">
        <v>224</v>
      </c>
      <c r="D257">
        <v>0.19700000000000001</v>
      </c>
      <c r="E257">
        <v>0.35499999999999998</v>
      </c>
      <c r="F257">
        <v>0.55600000000000005</v>
      </c>
      <c r="G257">
        <v>0.57799999999999996</v>
      </c>
      <c r="H257">
        <f t="shared" si="23"/>
        <v>1.2177440407059084</v>
      </c>
      <c r="I257">
        <f t="shared" si="18"/>
        <v>-0.49879999999999997</v>
      </c>
      <c r="J257">
        <f t="shared" si="19"/>
        <v>0.60725893338109682</v>
      </c>
      <c r="K257">
        <f t="shared" si="20"/>
        <v>0.89280000000000004</v>
      </c>
      <c r="L257">
        <f t="shared" si="21"/>
        <v>2.441957568937287</v>
      </c>
      <c r="N257" t="s">
        <v>258</v>
      </c>
    </row>
    <row r="258" spans="1:14" x14ac:dyDescent="0.3">
      <c r="A258" t="s">
        <v>231</v>
      </c>
      <c r="B258" t="str">
        <f t="shared" si="22"/>
        <v>Household member (Ref: Anchor)</v>
      </c>
      <c r="C258" t="s">
        <v>225</v>
      </c>
      <c r="D258">
        <v>7.3999999999999996E-2</v>
      </c>
      <c r="E258">
        <v>0.20499999999999999</v>
      </c>
      <c r="F258">
        <v>0.36199999999999999</v>
      </c>
      <c r="G258">
        <v>0.71799999999999997</v>
      </c>
      <c r="H258">
        <f t="shared" si="23"/>
        <v>1.0768068054962199</v>
      </c>
      <c r="I258">
        <f t="shared" ref="I258:I288" si="24">$D258-1.96*$E258</f>
        <v>-0.32779999999999998</v>
      </c>
      <c r="J258">
        <f t="shared" ref="J258:J288" si="25">EXP($I258)</f>
        <v>0.72050710671746332</v>
      </c>
      <c r="K258">
        <f t="shared" ref="K258:K288" si="26">$D258+1.96*$E258</f>
        <v>0.4758</v>
      </c>
      <c r="L258">
        <f t="shared" ref="L258:L288" si="27">EXP($K258)</f>
        <v>1.6093011235455592</v>
      </c>
      <c r="N258" t="s">
        <v>254</v>
      </c>
    </row>
    <row r="259" spans="1:14" x14ac:dyDescent="0.3">
      <c r="A259" t="s">
        <v>231</v>
      </c>
      <c r="B259" t="str">
        <f t="shared" ref="B259:B289" si="28">N259</f>
        <v>Age: Young tertile (Ref: Medium)</v>
      </c>
      <c r="C259" t="s">
        <v>225</v>
      </c>
      <c r="D259">
        <v>-0.442</v>
      </c>
      <c r="E259">
        <v>0.84699999999999998</v>
      </c>
      <c r="F259">
        <v>-0.52100000000000002</v>
      </c>
      <c r="G259">
        <v>0.60199999999999998</v>
      </c>
      <c r="H259">
        <f t="shared" si="23"/>
        <v>0.64274963545553121</v>
      </c>
      <c r="I259">
        <f t="shared" si="24"/>
        <v>-2.1021199999999998</v>
      </c>
      <c r="J259">
        <f t="shared" si="25"/>
        <v>0.12219709561481079</v>
      </c>
      <c r="K259">
        <f t="shared" si="26"/>
        <v>1.2181199999999999</v>
      </c>
      <c r="L259">
        <f t="shared" si="27"/>
        <v>3.3808258027709259</v>
      </c>
      <c r="N259" t="s">
        <v>244</v>
      </c>
    </row>
    <row r="260" spans="1:14" x14ac:dyDescent="0.3">
      <c r="A260" t="s">
        <v>231</v>
      </c>
      <c r="B260" t="str">
        <f t="shared" si="28"/>
        <v>Age: Old tertile</v>
      </c>
      <c r="C260" t="s">
        <v>225</v>
      </c>
      <c r="D260">
        <v>0.85199999999999998</v>
      </c>
      <c r="E260">
        <v>0.51100000000000001</v>
      </c>
      <c r="F260">
        <v>1.667</v>
      </c>
      <c r="G260">
        <v>9.5000000000000001E-2</v>
      </c>
      <c r="H260">
        <f t="shared" si="23"/>
        <v>2.3443308280446362</v>
      </c>
      <c r="I260">
        <f t="shared" si="24"/>
        <v>-0.14956000000000003</v>
      </c>
      <c r="J260">
        <f t="shared" si="25"/>
        <v>0.86108677126343802</v>
      </c>
      <c r="K260">
        <f t="shared" si="26"/>
        <v>1.8535599999999999</v>
      </c>
      <c r="L260">
        <f t="shared" si="27"/>
        <v>6.3825008288729776</v>
      </c>
      <c r="N260" t="s">
        <v>251</v>
      </c>
    </row>
    <row r="261" spans="1:14" x14ac:dyDescent="0.3">
      <c r="A261" t="s">
        <v>231</v>
      </c>
      <c r="B261" t="str">
        <f t="shared" si="28"/>
        <v>Gender: Female (Ref: Not female</v>
      </c>
      <c r="C261" t="s">
        <v>225</v>
      </c>
      <c r="D261">
        <v>0.128</v>
      </c>
      <c r="E261">
        <v>0.185</v>
      </c>
      <c r="F261">
        <v>0.69199999999999995</v>
      </c>
      <c r="G261">
        <v>0.48899999999999999</v>
      </c>
      <c r="H261">
        <f t="shared" si="23"/>
        <v>1.1365530026970603</v>
      </c>
      <c r="I261">
        <f t="shared" si="24"/>
        <v>-0.23459999999999998</v>
      </c>
      <c r="J261">
        <f t="shared" si="25"/>
        <v>0.79088714122268866</v>
      </c>
      <c r="K261">
        <f t="shared" si="26"/>
        <v>0.49059999999999998</v>
      </c>
      <c r="L261">
        <f t="shared" si="27"/>
        <v>1.6332959035630439</v>
      </c>
      <c r="N261" t="s">
        <v>114</v>
      </c>
    </row>
    <row r="262" spans="1:14" x14ac:dyDescent="0.3">
      <c r="A262" t="s">
        <v>231</v>
      </c>
      <c r="B262" t="str">
        <f t="shared" si="28"/>
        <v>Migration (Ref: No)</v>
      </c>
      <c r="C262" t="s">
        <v>225</v>
      </c>
      <c r="D262">
        <v>0.47499999999999998</v>
      </c>
      <c r="E262">
        <v>0.25900000000000001</v>
      </c>
      <c r="F262">
        <v>1.831</v>
      </c>
      <c r="G262">
        <v>6.7000000000000004E-2</v>
      </c>
      <c r="H262">
        <f t="shared" si="23"/>
        <v>1.6080141974857829</v>
      </c>
      <c r="I262">
        <f t="shared" si="24"/>
        <v>-3.2640000000000002E-2</v>
      </c>
      <c r="J262">
        <f t="shared" si="25"/>
        <v>0.96788693617450694</v>
      </c>
      <c r="K262">
        <f t="shared" si="26"/>
        <v>0.98263999999999996</v>
      </c>
      <c r="L262">
        <f t="shared" si="27"/>
        <v>2.6714996996815037</v>
      </c>
      <c r="N262" t="s">
        <v>253</v>
      </c>
    </row>
    <row r="263" spans="1:14" x14ac:dyDescent="0.3">
      <c r="A263" t="s">
        <v>231</v>
      </c>
      <c r="B263" t="str">
        <f t="shared" si="28"/>
        <v>Education: Tertiary (Ref: Non-tert.)</v>
      </c>
      <c r="C263" t="s">
        <v>225</v>
      </c>
      <c r="D263">
        <v>-0.62</v>
      </c>
      <c r="E263">
        <v>0.22700000000000001</v>
      </c>
      <c r="F263">
        <v>-2.7320000000000002</v>
      </c>
      <c r="G263">
        <v>6.0000000000000001E-3</v>
      </c>
      <c r="H263">
        <f t="shared" ref="H263:H289" si="29">(EXP($D263))*1</f>
        <v>0.53794443759467447</v>
      </c>
      <c r="I263">
        <f t="shared" si="24"/>
        <v>-1.0649199999999999</v>
      </c>
      <c r="J263">
        <f t="shared" si="25"/>
        <v>0.34475543409876014</v>
      </c>
      <c r="K263">
        <f t="shared" si="26"/>
        <v>-0.17508000000000001</v>
      </c>
      <c r="L263">
        <f t="shared" si="27"/>
        <v>0.83938986689373662</v>
      </c>
      <c r="N263" t="s">
        <v>252</v>
      </c>
    </row>
    <row r="264" spans="1:14" x14ac:dyDescent="0.3">
      <c r="A264" t="s">
        <v>231</v>
      </c>
      <c r="B264" t="str">
        <f t="shared" si="28"/>
        <v>Education: Missing</v>
      </c>
      <c r="C264" t="s">
        <v>225</v>
      </c>
      <c r="D264">
        <v>0.14000000000000001</v>
      </c>
      <c r="E264">
        <v>0.30599999999999999</v>
      </c>
      <c r="F264">
        <v>0.45900000000000002</v>
      </c>
      <c r="G264">
        <v>0.64600000000000002</v>
      </c>
      <c r="H264">
        <f t="shared" si="29"/>
        <v>1.1502737988572274</v>
      </c>
      <c r="I264">
        <f t="shared" si="24"/>
        <v>-0.45975999999999995</v>
      </c>
      <c r="J264">
        <f t="shared" si="25"/>
        <v>0.63143517176427122</v>
      </c>
      <c r="K264">
        <f t="shared" si="26"/>
        <v>0.73975999999999997</v>
      </c>
      <c r="L264">
        <f t="shared" si="27"/>
        <v>2.0954325503289999</v>
      </c>
      <c r="N264" t="s">
        <v>250</v>
      </c>
    </row>
    <row r="265" spans="1:14" x14ac:dyDescent="0.3">
      <c r="A265" t="s">
        <v>231</v>
      </c>
      <c r="B265" t="str">
        <f t="shared" si="28"/>
        <v>Employment: Part-time</v>
      </c>
      <c r="C265" t="s">
        <v>225</v>
      </c>
      <c r="E265">
        <v>1.639</v>
      </c>
      <c r="F265">
        <v>71414.202999999994</v>
      </c>
      <c r="G265">
        <v>0</v>
      </c>
      <c r="H265">
        <f t="shared" si="29"/>
        <v>1</v>
      </c>
      <c r="I265">
        <f t="shared" si="24"/>
        <v>-3.21244</v>
      </c>
      <c r="J265">
        <f t="shared" si="25"/>
        <v>4.0258263171564723E-2</v>
      </c>
      <c r="K265">
        <f t="shared" si="26"/>
        <v>3.21244</v>
      </c>
      <c r="L265">
        <f t="shared" si="27"/>
        <v>24.839621017389582</v>
      </c>
      <c r="N265" t="s">
        <v>248</v>
      </c>
    </row>
    <row r="266" spans="1:14" x14ac:dyDescent="0.3">
      <c r="A266" t="s">
        <v>231</v>
      </c>
      <c r="B266" t="str">
        <f t="shared" si="28"/>
        <v>Employment: None</v>
      </c>
      <c r="C266" t="s">
        <v>225</v>
      </c>
      <c r="E266">
        <v>0.61899999999999999</v>
      </c>
      <c r="G266">
        <v>0</v>
      </c>
      <c r="H266">
        <f t="shared" si="29"/>
        <v>1</v>
      </c>
      <c r="I266">
        <f t="shared" si="24"/>
        <v>-1.2132399999999999</v>
      </c>
      <c r="J266">
        <f t="shared" si="25"/>
        <v>0.29723268373339107</v>
      </c>
      <c r="K266">
        <f t="shared" si="26"/>
        <v>1.2132399999999999</v>
      </c>
      <c r="L266">
        <f t="shared" si="27"/>
        <v>3.3643675636188464</v>
      </c>
      <c r="N266" t="s">
        <v>249</v>
      </c>
    </row>
    <row r="267" spans="1:14" x14ac:dyDescent="0.3">
      <c r="A267" t="s">
        <v>231</v>
      </c>
      <c r="B267" t="str">
        <f t="shared" si="28"/>
        <v>Employment: Retired (Ref: Full)</v>
      </c>
      <c r="C267" t="s">
        <v>225</v>
      </c>
      <c r="E267">
        <v>0.44</v>
      </c>
      <c r="G267">
        <v>0</v>
      </c>
      <c r="H267">
        <f t="shared" si="29"/>
        <v>1</v>
      </c>
      <c r="I267">
        <f t="shared" si="24"/>
        <v>-0.86239999999999994</v>
      </c>
      <c r="J267">
        <f t="shared" si="25"/>
        <v>0.42214771105260257</v>
      </c>
      <c r="K267">
        <f t="shared" si="26"/>
        <v>0.86239999999999994</v>
      </c>
      <c r="L267">
        <f t="shared" si="27"/>
        <v>2.3688390907214774</v>
      </c>
      <c r="N267" t="s">
        <v>256</v>
      </c>
    </row>
    <row r="268" spans="1:14" x14ac:dyDescent="0.3">
      <c r="A268" t="s">
        <v>231</v>
      </c>
      <c r="B268" t="str">
        <f t="shared" si="28"/>
        <v>Employment: Missing</v>
      </c>
      <c r="C268" t="s">
        <v>225</v>
      </c>
      <c r="E268">
        <v>0</v>
      </c>
      <c r="F268">
        <v>999</v>
      </c>
      <c r="G268">
        <v>0</v>
      </c>
      <c r="H268">
        <f t="shared" si="29"/>
        <v>1</v>
      </c>
      <c r="I268">
        <f t="shared" si="24"/>
        <v>0</v>
      </c>
      <c r="J268">
        <f t="shared" si="25"/>
        <v>1</v>
      </c>
      <c r="K268">
        <f t="shared" si="26"/>
        <v>0</v>
      </c>
      <c r="L268">
        <f t="shared" si="27"/>
        <v>1</v>
      </c>
      <c r="N268" t="s">
        <v>247</v>
      </c>
    </row>
    <row r="269" spans="1:14" x14ac:dyDescent="0.3">
      <c r="A269" t="s">
        <v>231</v>
      </c>
      <c r="B269" t="str">
        <f t="shared" si="28"/>
        <v>Child in household</v>
      </c>
      <c r="C269" t="s">
        <v>225</v>
      </c>
      <c r="D269">
        <v>-0.17699999999999999</v>
      </c>
      <c r="E269">
        <v>0.75600000000000001</v>
      </c>
      <c r="F269">
        <v>-0.23400000000000001</v>
      </c>
      <c r="G269">
        <v>0.81499999999999995</v>
      </c>
      <c r="H269">
        <f t="shared" si="29"/>
        <v>0.83777978452299384</v>
      </c>
      <c r="I269">
        <f t="shared" si="24"/>
        <v>-1.65876</v>
      </c>
      <c r="J269">
        <f t="shared" si="25"/>
        <v>0.19037489867613364</v>
      </c>
      <c r="K269">
        <f t="shared" si="26"/>
        <v>1.3047599999999999</v>
      </c>
      <c r="L269">
        <f t="shared" si="27"/>
        <v>3.6868041545194772</v>
      </c>
      <c r="N269" t="s">
        <v>260</v>
      </c>
    </row>
    <row r="270" spans="1:14" x14ac:dyDescent="0.3">
      <c r="A270" t="s">
        <v>231</v>
      </c>
      <c r="B270" t="str">
        <f t="shared" si="28"/>
        <v>Child in household: Missing (Ref: No child)</v>
      </c>
      <c r="C270" t="s">
        <v>225</v>
      </c>
      <c r="D270">
        <v>0.26700000000000002</v>
      </c>
      <c r="E270">
        <v>0.374</v>
      </c>
      <c r="F270">
        <v>0.71499999999999997</v>
      </c>
      <c r="G270">
        <v>0.47499999999999998</v>
      </c>
      <c r="H270">
        <f t="shared" si="29"/>
        <v>1.3060404463306543</v>
      </c>
      <c r="I270">
        <f t="shared" si="24"/>
        <v>-0.46604000000000001</v>
      </c>
      <c r="J270">
        <f t="shared" si="25"/>
        <v>0.62748218425797797</v>
      </c>
      <c r="K270">
        <f t="shared" si="26"/>
        <v>1.00004</v>
      </c>
      <c r="L270">
        <f t="shared" si="27"/>
        <v>2.7183905619068383</v>
      </c>
      <c r="N270" t="s">
        <v>261</v>
      </c>
    </row>
    <row r="271" spans="1:14" x14ac:dyDescent="0.3">
      <c r="A271" t="s">
        <v>231</v>
      </c>
      <c r="B271" t="str">
        <f t="shared" si="28"/>
        <v>Income: Low tertile</v>
      </c>
      <c r="C271" t="s">
        <v>225</v>
      </c>
      <c r="D271">
        <v>0.3</v>
      </c>
      <c r="E271">
        <v>0.249</v>
      </c>
      <c r="F271">
        <v>1.2050000000000001</v>
      </c>
      <c r="G271">
        <v>0.22800000000000001</v>
      </c>
      <c r="H271">
        <f t="shared" si="29"/>
        <v>1.3498588075760032</v>
      </c>
      <c r="I271">
        <f t="shared" si="24"/>
        <v>-0.18803999999999998</v>
      </c>
      <c r="J271">
        <f t="shared" si="25"/>
        <v>0.82858156330727428</v>
      </c>
      <c r="K271">
        <f t="shared" si="26"/>
        <v>0.78803999999999996</v>
      </c>
      <c r="L271">
        <f t="shared" si="27"/>
        <v>2.1990819987805925</v>
      </c>
      <c r="N271" t="s">
        <v>246</v>
      </c>
    </row>
    <row r="272" spans="1:14" x14ac:dyDescent="0.3">
      <c r="A272" t="s">
        <v>231</v>
      </c>
      <c r="B272" t="str">
        <f t="shared" si="28"/>
        <v>Income: High tertile</v>
      </c>
      <c r="C272" t="s">
        <v>225</v>
      </c>
      <c r="D272">
        <v>-0.51400000000000001</v>
      </c>
      <c r="E272">
        <v>0.38200000000000001</v>
      </c>
      <c r="F272">
        <v>-1.3460000000000001</v>
      </c>
      <c r="G272">
        <v>0.17799999999999999</v>
      </c>
      <c r="H272">
        <f t="shared" si="29"/>
        <v>0.59809839406276133</v>
      </c>
      <c r="I272">
        <f t="shared" si="24"/>
        <v>-1.2627200000000001</v>
      </c>
      <c r="J272">
        <f t="shared" si="25"/>
        <v>0.28288353588995341</v>
      </c>
      <c r="K272">
        <f t="shared" si="26"/>
        <v>0.23472000000000004</v>
      </c>
      <c r="L272">
        <f t="shared" si="27"/>
        <v>1.2645546438574429</v>
      </c>
      <c r="N272" t="s">
        <v>245</v>
      </c>
    </row>
    <row r="273" spans="1:14" x14ac:dyDescent="0.3">
      <c r="A273" t="s">
        <v>231</v>
      </c>
      <c r="B273" t="str">
        <f t="shared" si="28"/>
        <v>Income: Missing (Ref: Medium)</v>
      </c>
      <c r="C273" t="s">
        <v>225</v>
      </c>
      <c r="D273">
        <v>1.0089999999999999</v>
      </c>
      <c r="E273">
        <v>0.34599999999999997</v>
      </c>
      <c r="F273">
        <v>2.9169999999999998</v>
      </c>
      <c r="G273">
        <v>4.0000000000000001E-3</v>
      </c>
      <c r="H273">
        <f t="shared" si="29"/>
        <v>2.7428567863449209</v>
      </c>
      <c r="I273">
        <f t="shared" si="24"/>
        <v>0.33083999999999991</v>
      </c>
      <c r="J273">
        <f t="shared" si="25"/>
        <v>1.3921370325626796</v>
      </c>
      <c r="K273">
        <f t="shared" si="26"/>
        <v>1.68716</v>
      </c>
      <c r="L273">
        <f t="shared" si="27"/>
        <v>5.4041112149350576</v>
      </c>
      <c r="N273" t="s">
        <v>258</v>
      </c>
    </row>
    <row r="274" spans="1:14" x14ac:dyDescent="0.3">
      <c r="A274" t="s">
        <v>231</v>
      </c>
      <c r="B274" t="str">
        <f t="shared" si="28"/>
        <v>Household member (Ref: Anchor)</v>
      </c>
      <c r="C274" t="s">
        <v>223</v>
      </c>
      <c r="D274">
        <v>-8.1000000000000003E-2</v>
      </c>
      <c r="E274">
        <v>0.10199999999999999</v>
      </c>
      <c r="F274">
        <v>-0.79100000000000004</v>
      </c>
      <c r="G274">
        <v>0.42899999999999999</v>
      </c>
      <c r="H274">
        <f t="shared" si="29"/>
        <v>0.92219369144460805</v>
      </c>
      <c r="I274">
        <f t="shared" si="24"/>
        <v>-0.28092</v>
      </c>
      <c r="J274">
        <f t="shared" si="25"/>
        <v>0.75508874016320149</v>
      </c>
      <c r="K274">
        <f t="shared" si="26"/>
        <v>0.11891999999999998</v>
      </c>
      <c r="L274">
        <f t="shared" si="27"/>
        <v>1.1262798122991775</v>
      </c>
      <c r="N274" t="s">
        <v>254</v>
      </c>
    </row>
    <row r="275" spans="1:14" x14ac:dyDescent="0.3">
      <c r="A275" t="s">
        <v>231</v>
      </c>
      <c r="B275" t="str">
        <f t="shared" si="28"/>
        <v>Age: Young tertile (Ref: Medium)</v>
      </c>
      <c r="C275" t="s">
        <v>223</v>
      </c>
      <c r="D275">
        <v>-6.3E-2</v>
      </c>
      <c r="E275">
        <v>0.154</v>
      </c>
      <c r="F275">
        <v>-0.40899999999999997</v>
      </c>
      <c r="G275">
        <v>0.68300000000000005</v>
      </c>
      <c r="H275">
        <f t="shared" si="29"/>
        <v>0.93894347368913322</v>
      </c>
      <c r="I275">
        <f t="shared" si="24"/>
        <v>-0.36484</v>
      </c>
      <c r="J275">
        <f t="shared" si="25"/>
        <v>0.69430773122831035</v>
      </c>
      <c r="K275">
        <f t="shared" si="26"/>
        <v>0.23884</v>
      </c>
      <c r="L275">
        <f t="shared" si="27"/>
        <v>1.2697753562728415</v>
      </c>
      <c r="N275" t="s">
        <v>244</v>
      </c>
    </row>
    <row r="276" spans="1:14" x14ac:dyDescent="0.3">
      <c r="A276" t="s">
        <v>231</v>
      </c>
      <c r="B276" t="str">
        <f t="shared" si="28"/>
        <v>Age: Old tertile</v>
      </c>
      <c r="C276" t="s">
        <v>223</v>
      </c>
      <c r="D276">
        <v>-0.188</v>
      </c>
      <c r="E276">
        <v>0.17599999999999999</v>
      </c>
      <c r="F276">
        <v>-1.071</v>
      </c>
      <c r="G276">
        <v>0.28399999999999997</v>
      </c>
      <c r="H276">
        <f t="shared" si="29"/>
        <v>0.8286147072326806</v>
      </c>
      <c r="I276">
        <f t="shared" si="24"/>
        <v>-0.53295999999999999</v>
      </c>
      <c r="J276">
        <f t="shared" si="25"/>
        <v>0.58686527498646013</v>
      </c>
      <c r="K276">
        <f t="shared" si="26"/>
        <v>0.15695999999999999</v>
      </c>
      <c r="L276">
        <f t="shared" si="27"/>
        <v>1.1699488150123416</v>
      </c>
      <c r="N276" t="s">
        <v>251</v>
      </c>
    </row>
    <row r="277" spans="1:14" x14ac:dyDescent="0.3">
      <c r="A277" t="s">
        <v>231</v>
      </c>
      <c r="B277" t="str">
        <f t="shared" si="28"/>
        <v>Gender: Female (Ref: Not female</v>
      </c>
      <c r="C277" t="s">
        <v>223</v>
      </c>
      <c r="D277">
        <v>-2.1999999999999999E-2</v>
      </c>
      <c r="E277">
        <v>0.1</v>
      </c>
      <c r="F277">
        <v>-0.219</v>
      </c>
      <c r="G277">
        <v>0.82599999999999996</v>
      </c>
      <c r="H277">
        <f t="shared" si="29"/>
        <v>0.97824023505121005</v>
      </c>
      <c r="I277">
        <f t="shared" si="24"/>
        <v>-0.218</v>
      </c>
      <c r="J277">
        <f t="shared" si="25"/>
        <v>0.80412544166655964</v>
      </c>
      <c r="K277">
        <f t="shared" si="26"/>
        <v>0.17400000000000002</v>
      </c>
      <c r="L277">
        <f t="shared" si="27"/>
        <v>1.1900555658203626</v>
      </c>
      <c r="N277" t="s">
        <v>114</v>
      </c>
    </row>
    <row r="278" spans="1:14" x14ac:dyDescent="0.3">
      <c r="A278" t="s">
        <v>231</v>
      </c>
      <c r="B278" t="str">
        <f t="shared" si="28"/>
        <v>Migration (Ref: No)</v>
      </c>
      <c r="C278" t="s">
        <v>223</v>
      </c>
      <c r="D278">
        <v>0.37</v>
      </c>
      <c r="E278">
        <v>0.14499999999999999</v>
      </c>
      <c r="F278">
        <v>2.5539999999999998</v>
      </c>
      <c r="G278">
        <v>1.0999999999999999E-2</v>
      </c>
      <c r="H278">
        <f t="shared" si="29"/>
        <v>1.4477346146633245</v>
      </c>
      <c r="I278">
        <f t="shared" si="24"/>
        <v>8.5800000000000043E-2</v>
      </c>
      <c r="J278">
        <f t="shared" si="25"/>
        <v>1.0895883888341413</v>
      </c>
      <c r="K278">
        <f t="shared" si="26"/>
        <v>0.65419999999999989</v>
      </c>
      <c r="L278">
        <f t="shared" si="27"/>
        <v>1.9236030192438209</v>
      </c>
      <c r="N278" t="s">
        <v>253</v>
      </c>
    </row>
    <row r="279" spans="1:14" x14ac:dyDescent="0.3">
      <c r="A279" t="s">
        <v>231</v>
      </c>
      <c r="B279" t="str">
        <f t="shared" si="28"/>
        <v>Education: Tertiary (Ref: Non-tert.)</v>
      </c>
      <c r="C279" t="s">
        <v>223</v>
      </c>
      <c r="D279">
        <v>-0.59499999999999997</v>
      </c>
      <c r="E279">
        <v>0.121</v>
      </c>
      <c r="F279">
        <v>-4.91</v>
      </c>
      <c r="G279">
        <v>0</v>
      </c>
      <c r="H279">
        <f t="shared" si="29"/>
        <v>0.55156256586782981</v>
      </c>
      <c r="I279">
        <f t="shared" si="24"/>
        <v>-0.83216000000000001</v>
      </c>
      <c r="J279">
        <f t="shared" si="25"/>
        <v>0.43510843634685614</v>
      </c>
      <c r="K279">
        <f t="shared" si="26"/>
        <v>-0.35783999999999999</v>
      </c>
      <c r="L279">
        <f t="shared" si="27"/>
        <v>0.69918493564713935</v>
      </c>
      <c r="N279" t="s">
        <v>252</v>
      </c>
    </row>
    <row r="280" spans="1:14" x14ac:dyDescent="0.3">
      <c r="A280" t="s">
        <v>231</v>
      </c>
      <c r="B280" t="str">
        <f t="shared" si="28"/>
        <v>Education: Missing</v>
      </c>
      <c r="C280" t="s">
        <v>223</v>
      </c>
      <c r="D280">
        <v>-0.33100000000000002</v>
      </c>
      <c r="E280">
        <v>0.26600000000000001</v>
      </c>
      <c r="F280">
        <v>-1.242</v>
      </c>
      <c r="G280">
        <v>0.214</v>
      </c>
      <c r="H280">
        <f t="shared" si="29"/>
        <v>0.7182051690405703</v>
      </c>
      <c r="I280">
        <f t="shared" si="24"/>
        <v>-0.85236000000000001</v>
      </c>
      <c r="J280">
        <f t="shared" si="25"/>
        <v>0.42640742203864046</v>
      </c>
      <c r="K280">
        <f t="shared" si="26"/>
        <v>0.19036000000000003</v>
      </c>
      <c r="L280">
        <f t="shared" si="27"/>
        <v>1.2096850058811861</v>
      </c>
      <c r="N280" t="s">
        <v>250</v>
      </c>
    </row>
    <row r="281" spans="1:14" x14ac:dyDescent="0.3">
      <c r="A281" t="s">
        <v>231</v>
      </c>
      <c r="B281" t="str">
        <f t="shared" si="28"/>
        <v>Employment: Part-time</v>
      </c>
      <c r="C281" t="s">
        <v>223</v>
      </c>
      <c r="D281">
        <v>-1.4E-2</v>
      </c>
      <c r="E281">
        <v>0.17100000000000001</v>
      </c>
      <c r="F281">
        <v>-8.2000000000000003E-2</v>
      </c>
      <c r="G281">
        <v>0.93500000000000005</v>
      </c>
      <c r="H281">
        <f t="shared" si="29"/>
        <v>0.98609754426286189</v>
      </c>
      <c r="I281">
        <f t="shared" si="24"/>
        <v>-0.34916000000000003</v>
      </c>
      <c r="J281">
        <f t="shared" si="25"/>
        <v>0.70528027639766167</v>
      </c>
      <c r="K281">
        <f t="shared" si="26"/>
        <v>0.32116</v>
      </c>
      <c r="L281">
        <f t="shared" si="27"/>
        <v>1.3787261594325095</v>
      </c>
      <c r="N281" t="s">
        <v>248</v>
      </c>
    </row>
    <row r="282" spans="1:14" x14ac:dyDescent="0.3">
      <c r="A282" t="s">
        <v>231</v>
      </c>
      <c r="B282" t="str">
        <f t="shared" si="28"/>
        <v>Employment: None</v>
      </c>
      <c r="C282" t="s">
        <v>223</v>
      </c>
      <c r="D282">
        <v>0.31</v>
      </c>
      <c r="E282">
        <v>0.18</v>
      </c>
      <c r="F282">
        <v>1.7210000000000001</v>
      </c>
      <c r="G282">
        <v>8.5000000000000006E-2</v>
      </c>
      <c r="H282">
        <f t="shared" si="29"/>
        <v>1.3634251141321778</v>
      </c>
      <c r="I282">
        <f t="shared" si="24"/>
        <v>-4.2800000000000005E-2</v>
      </c>
      <c r="J282">
        <f t="shared" si="25"/>
        <v>0.95810299150454914</v>
      </c>
      <c r="K282">
        <f t="shared" si="26"/>
        <v>0.66280000000000006</v>
      </c>
      <c r="L282">
        <f t="shared" si="27"/>
        <v>1.9402173444080264</v>
      </c>
      <c r="N282" t="s">
        <v>249</v>
      </c>
    </row>
    <row r="283" spans="1:14" x14ac:dyDescent="0.3">
      <c r="A283" t="s">
        <v>231</v>
      </c>
      <c r="B283" t="str">
        <f t="shared" si="28"/>
        <v>Employment: Retired (Ref: Full)</v>
      </c>
      <c r="C283" t="s">
        <v>223</v>
      </c>
      <c r="D283">
        <v>0.51100000000000001</v>
      </c>
      <c r="E283">
        <v>0.185</v>
      </c>
      <c r="F283">
        <v>2.7610000000000001</v>
      </c>
      <c r="G283">
        <v>6.0000000000000001E-3</v>
      </c>
      <c r="H283">
        <f t="shared" si="29"/>
        <v>1.6669573190640476</v>
      </c>
      <c r="I283">
        <f t="shared" si="24"/>
        <v>0.14840000000000003</v>
      </c>
      <c r="J283">
        <f t="shared" si="25"/>
        <v>1.1599767942949202</v>
      </c>
      <c r="K283">
        <f t="shared" si="26"/>
        <v>0.87359999999999993</v>
      </c>
      <c r="L283">
        <f t="shared" si="27"/>
        <v>2.3955192183566303</v>
      </c>
      <c r="N283" t="s">
        <v>256</v>
      </c>
    </row>
    <row r="284" spans="1:14" x14ac:dyDescent="0.3">
      <c r="A284" t="s">
        <v>231</v>
      </c>
      <c r="B284" t="str">
        <f t="shared" si="28"/>
        <v>Employment: Missing</v>
      </c>
      <c r="C284" t="s">
        <v>223</v>
      </c>
      <c r="D284">
        <v>0.10199999999999999</v>
      </c>
      <c r="E284">
        <v>0.38200000000000001</v>
      </c>
      <c r="F284">
        <v>0.26800000000000002</v>
      </c>
      <c r="G284">
        <v>0.78900000000000003</v>
      </c>
      <c r="H284">
        <f t="shared" si="29"/>
        <v>1.1073834717279334</v>
      </c>
      <c r="I284">
        <f t="shared" si="24"/>
        <v>-0.64672000000000007</v>
      </c>
      <c r="J284">
        <f t="shared" si="25"/>
        <v>0.52376089817024007</v>
      </c>
      <c r="K284">
        <f t="shared" si="26"/>
        <v>0.85072000000000003</v>
      </c>
      <c r="L284">
        <f t="shared" si="27"/>
        <v>2.3413320042414125</v>
      </c>
      <c r="N284" t="s">
        <v>247</v>
      </c>
    </row>
    <row r="285" spans="1:14" x14ac:dyDescent="0.3">
      <c r="A285" t="s">
        <v>231</v>
      </c>
      <c r="B285" t="str">
        <f t="shared" si="28"/>
        <v>Child in household</v>
      </c>
      <c r="C285" t="s">
        <v>223</v>
      </c>
      <c r="D285">
        <v>0.11</v>
      </c>
      <c r="E285">
        <v>0.184</v>
      </c>
      <c r="F285">
        <v>0.59899999999999998</v>
      </c>
      <c r="G285">
        <v>0.54900000000000004</v>
      </c>
      <c r="H285">
        <f t="shared" si="29"/>
        <v>1.1162780704588713</v>
      </c>
      <c r="I285">
        <f t="shared" si="24"/>
        <v>-0.25063999999999997</v>
      </c>
      <c r="J285">
        <f t="shared" si="25"/>
        <v>0.7783025100346187</v>
      </c>
      <c r="K285">
        <f t="shared" si="26"/>
        <v>0.47063999999999995</v>
      </c>
      <c r="L285">
        <f t="shared" si="27"/>
        <v>1.601018517249746</v>
      </c>
      <c r="N285" t="s">
        <v>260</v>
      </c>
    </row>
    <row r="286" spans="1:14" x14ac:dyDescent="0.3">
      <c r="A286" t="s">
        <v>231</v>
      </c>
      <c r="B286" t="str">
        <f t="shared" si="28"/>
        <v>Child in household: Missing (Ref: No child)</v>
      </c>
      <c r="C286" t="s">
        <v>223</v>
      </c>
      <c r="D286">
        <v>-6.4000000000000001E-2</v>
      </c>
      <c r="E286">
        <v>0.22800000000000001</v>
      </c>
      <c r="F286">
        <v>-0.27800000000000002</v>
      </c>
      <c r="G286">
        <v>0.78100000000000003</v>
      </c>
      <c r="H286">
        <f t="shared" si="29"/>
        <v>0.93800499953072947</v>
      </c>
      <c r="I286">
        <f t="shared" si="24"/>
        <v>-0.51088</v>
      </c>
      <c r="J286">
        <f t="shared" si="25"/>
        <v>0.5999673751466108</v>
      </c>
      <c r="K286">
        <f t="shared" si="26"/>
        <v>0.38288</v>
      </c>
      <c r="L286">
        <f t="shared" si="27"/>
        <v>1.4665020392644497</v>
      </c>
      <c r="N286" t="s">
        <v>261</v>
      </c>
    </row>
    <row r="287" spans="1:14" x14ac:dyDescent="0.3">
      <c r="A287" t="s">
        <v>231</v>
      </c>
      <c r="B287" t="str">
        <f t="shared" si="28"/>
        <v>Income: Low tertile</v>
      </c>
      <c r="C287" t="s">
        <v>223</v>
      </c>
      <c r="D287">
        <v>0.35599999999999998</v>
      </c>
      <c r="E287">
        <v>0.13400000000000001</v>
      </c>
      <c r="F287">
        <v>2.6640000000000001</v>
      </c>
      <c r="G287">
        <v>8.0000000000000002E-3</v>
      </c>
      <c r="H287">
        <f t="shared" si="29"/>
        <v>1.4276075482638448</v>
      </c>
      <c r="I287">
        <f t="shared" si="24"/>
        <v>9.3359999999999999E-2</v>
      </c>
      <c r="J287">
        <f t="shared" si="25"/>
        <v>1.0978568926168335</v>
      </c>
      <c r="K287">
        <f t="shared" si="26"/>
        <v>0.61863999999999997</v>
      </c>
      <c r="L287">
        <f t="shared" si="27"/>
        <v>1.8564016180670071</v>
      </c>
      <c r="N287" t="s">
        <v>246</v>
      </c>
    </row>
    <row r="288" spans="1:14" x14ac:dyDescent="0.3">
      <c r="A288" t="s">
        <v>231</v>
      </c>
      <c r="B288" t="str">
        <f t="shared" si="28"/>
        <v>Income: High tertile</v>
      </c>
      <c r="C288" t="s">
        <v>223</v>
      </c>
      <c r="D288">
        <v>-0.36499999999999999</v>
      </c>
      <c r="E288">
        <v>0.17</v>
      </c>
      <c r="F288">
        <v>-2.15</v>
      </c>
      <c r="G288">
        <v>3.2000000000000001E-2</v>
      </c>
      <c r="H288">
        <f t="shared" si="29"/>
        <v>0.69419665087797888</v>
      </c>
      <c r="I288">
        <f t="shared" si="24"/>
        <v>-0.69819999999999993</v>
      </c>
      <c r="J288">
        <f t="shared" si="25"/>
        <v>0.49747996228932445</v>
      </c>
      <c r="K288">
        <f t="shared" si="26"/>
        <v>-3.1799999999999995E-2</v>
      </c>
      <c r="L288">
        <f t="shared" si="27"/>
        <v>0.96870030276703645</v>
      </c>
      <c r="N288" t="s">
        <v>245</v>
      </c>
    </row>
    <row r="289" spans="1:14" x14ac:dyDescent="0.3">
      <c r="A289" t="s">
        <v>231</v>
      </c>
      <c r="B289" t="str">
        <f t="shared" si="28"/>
        <v>Income: Missing (Ref: Medium)</v>
      </c>
      <c r="C289" t="s">
        <v>223</v>
      </c>
      <c r="D289">
        <v>0.81100000000000005</v>
      </c>
      <c r="E289">
        <v>0.17699999999999999</v>
      </c>
      <c r="F289">
        <v>4.593</v>
      </c>
      <c r="G289">
        <v>0</v>
      </c>
      <c r="H289">
        <f t="shared" si="29"/>
        <v>2.2501570189918865</v>
      </c>
      <c r="I289">
        <f t="shared" ref="I289" si="30">$D289-1.96*$E289</f>
        <v>0.4640800000000001</v>
      </c>
      <c r="J289">
        <f t="shared" ref="J289" si="31">EXP($I289)</f>
        <v>1.5905502093671637</v>
      </c>
      <c r="K289">
        <f>$D289+1.96*$E289</f>
        <v>1.1579200000000001</v>
      </c>
      <c r="L289">
        <f t="shared" ref="L289" si="32">EXP($K289)</f>
        <v>3.1833051105836914</v>
      </c>
      <c r="N289" t="s">
        <v>258</v>
      </c>
    </row>
  </sheetData>
  <autoFilter ref="N1:N289" xr:uid="{15DD52B5-AFDC-471F-86BB-858757055D6D}"/>
  <conditionalFormatting sqref="D2:D49">
    <cfRule type="duplicateValues" dxfId="67" priority="1"/>
  </conditionalFormatting>
  <conditionalFormatting sqref="D98:D145">
    <cfRule type="duplicateValues" dxfId="66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116"/>
  <sheetViews>
    <sheetView zoomScale="70" zoomScaleNormal="70" workbookViewId="0">
      <pane xSplit="1" ySplit="1" topLeftCell="B40" activePane="bottomRight" state="frozen"/>
      <selection pane="topRight"/>
      <selection pane="bottomLeft"/>
      <selection pane="bottomRight" activeCell="I117" sqref="I117"/>
    </sheetView>
  </sheetViews>
  <sheetFormatPr defaultColWidth="11.5546875" defaultRowHeight="14.4" x14ac:dyDescent="0.3"/>
  <sheetData>
    <row r="1" spans="1:25" ht="17.399999999999999" x14ac:dyDescent="0.35">
      <c r="A1" s="1" t="s">
        <v>168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26</v>
      </c>
      <c r="Y3" t="s">
        <v>27</v>
      </c>
    </row>
    <row r="4" spans="1:25" x14ac:dyDescent="0.3">
      <c r="A4">
        <v>1</v>
      </c>
      <c r="B4" s="2" t="s">
        <v>23</v>
      </c>
      <c r="C4">
        <v>9</v>
      </c>
      <c r="D4">
        <v>-14533.624</v>
      </c>
      <c r="E4">
        <v>1.1033999999999999</v>
      </c>
      <c r="F4" t="s">
        <v>23</v>
      </c>
      <c r="G4">
        <v>29085.248</v>
      </c>
      <c r="H4" s="3">
        <v>29150.420999999998</v>
      </c>
      <c r="I4" s="3">
        <v>29141.420999999998</v>
      </c>
      <c r="J4" s="3">
        <v>29112.823</v>
      </c>
      <c r="K4">
        <v>9208.2000000000007</v>
      </c>
      <c r="L4">
        <v>3087.4479999999999</v>
      </c>
      <c r="P4">
        <v>1</v>
      </c>
      <c r="V4" s="3">
        <v>2500.3330000000001</v>
      </c>
      <c r="W4" s="3">
        <v>0</v>
      </c>
      <c r="X4">
        <f>I4-$I$11</f>
        <v>2500.3329999999987</v>
      </c>
      <c r="Y4" cm="1">
        <f t="array" ref="Y4">ROUND(EXP(-0.5*X4)/SUM(EXP(-0.5*$X$4:$X$6)),3)</f>
        <v>0</v>
      </c>
    </row>
    <row r="5" spans="1:25" x14ac:dyDescent="0.3">
      <c r="A5">
        <v>2</v>
      </c>
      <c r="B5" s="2" t="s">
        <v>23</v>
      </c>
      <c r="C5">
        <v>19</v>
      </c>
      <c r="D5">
        <v>-13497.21</v>
      </c>
      <c r="E5">
        <v>1.0710999999999999</v>
      </c>
      <c r="F5" t="s">
        <v>23</v>
      </c>
      <c r="G5">
        <v>27032.419000000002</v>
      </c>
      <c r="H5" s="19">
        <v>27170.007000000001</v>
      </c>
      <c r="I5" s="21">
        <v>27151.007000000001</v>
      </c>
      <c r="J5" s="16">
        <v>27090.633999999998</v>
      </c>
      <c r="K5">
        <v>2085.9720000000002</v>
      </c>
      <c r="L5">
        <v>1102.2660000000001</v>
      </c>
      <c r="M5">
        <v>0</v>
      </c>
      <c r="N5">
        <v>0</v>
      </c>
      <c r="O5" s="2">
        <v>1</v>
      </c>
      <c r="P5">
        <v>0.26086999999999999</v>
      </c>
      <c r="Q5">
        <v>0.73912999999999995</v>
      </c>
      <c r="V5" s="21">
        <v>509.91900000000197</v>
      </c>
      <c r="W5" s="3">
        <v>0</v>
      </c>
      <c r="X5">
        <f t="shared" ref="X5:X6" si="0">I5-$I$11</f>
        <v>509.91900000000169</v>
      </c>
      <c r="Y5" cm="1">
        <f t="array" ref="Y5">ROUND(EXP(-0.5*X5)/SUM(EXP(-0.5*$X$4:$X$6)),3)</f>
        <v>0</v>
      </c>
    </row>
    <row r="6" spans="1:25" x14ac:dyDescent="0.3">
      <c r="A6" s="42">
        <v>3</v>
      </c>
      <c r="B6" s="43" t="s">
        <v>23</v>
      </c>
      <c r="C6" s="44">
        <v>29</v>
      </c>
      <c r="D6" s="44">
        <v>-13294.707</v>
      </c>
      <c r="E6" s="44">
        <v>1.1017999999999999</v>
      </c>
      <c r="F6" s="44" t="s">
        <v>23</v>
      </c>
      <c r="G6" s="44">
        <v>26647.414000000001</v>
      </c>
      <c r="H6" s="50">
        <v>26857.416000000001</v>
      </c>
      <c r="I6" s="50">
        <v>26828.416000000001</v>
      </c>
      <c r="J6" s="51">
        <v>26736.268</v>
      </c>
      <c r="K6" s="44">
        <v>1402.5309999999999</v>
      </c>
      <c r="L6" s="44">
        <v>724.39700000000005</v>
      </c>
      <c r="M6" s="44">
        <v>0</v>
      </c>
      <c r="N6" s="44">
        <v>0</v>
      </c>
      <c r="O6" s="43">
        <v>0.88700000000000001</v>
      </c>
      <c r="P6" s="44">
        <v>0.26086999999999999</v>
      </c>
      <c r="Q6" s="44">
        <v>0.11602999999999999</v>
      </c>
      <c r="R6" s="44">
        <v>0.62309999999999999</v>
      </c>
      <c r="S6" s="44"/>
      <c r="T6" s="44"/>
      <c r="U6" s="44"/>
      <c r="V6" s="50">
        <v>187.328000000001</v>
      </c>
      <c r="W6" s="48">
        <v>0</v>
      </c>
      <c r="X6" s="44">
        <f t="shared" si="0"/>
        <v>187.32800000000134</v>
      </c>
      <c r="Y6" s="49" cm="1">
        <f t="array" ref="Y6">ROUND(EXP(-0.5*X6)/SUM(EXP(-0.5*$X$4:$X$6)),3)</f>
        <v>1</v>
      </c>
    </row>
    <row r="7" spans="1:25" x14ac:dyDescent="0.3">
      <c r="A7" s="25">
        <v>4</v>
      </c>
      <c r="B7" s="26" t="s">
        <v>23</v>
      </c>
      <c r="C7" s="25">
        <v>39</v>
      </c>
      <c r="D7" s="25">
        <v>-13200.241</v>
      </c>
      <c r="E7" s="25">
        <v>1.1455</v>
      </c>
      <c r="F7" s="25" t="s">
        <v>23</v>
      </c>
      <c r="G7" s="25">
        <v>26478.482</v>
      </c>
      <c r="H7" s="33">
        <v>26760.898000000001</v>
      </c>
      <c r="I7" s="34">
        <v>26721.898000000001</v>
      </c>
      <c r="J7" s="35">
        <v>26597.973999999998</v>
      </c>
      <c r="K7" s="25">
        <v>1047.095</v>
      </c>
      <c r="L7" s="25">
        <v>544.52700000000004</v>
      </c>
      <c r="M7" s="25">
        <v>2.2000000000000001E-3</v>
      </c>
      <c r="N7" s="89">
        <v>2.3999999999999998E-3</v>
      </c>
      <c r="O7" s="26">
        <v>0.82699999999999996</v>
      </c>
      <c r="P7" s="25">
        <v>0.10065</v>
      </c>
      <c r="Q7" s="25">
        <v>0.27523999999999998</v>
      </c>
      <c r="R7" s="25">
        <v>0.19270999999999999</v>
      </c>
      <c r="S7" s="25">
        <v>0.43139</v>
      </c>
      <c r="T7" s="25"/>
      <c r="U7" s="25"/>
      <c r="V7" s="34">
        <v>80.810000000001295</v>
      </c>
      <c r="W7" s="30">
        <v>0</v>
      </c>
    </row>
    <row r="8" spans="1:25" x14ac:dyDescent="0.3">
      <c r="A8" s="36">
        <v>5</v>
      </c>
      <c r="B8" s="37" t="s">
        <v>23</v>
      </c>
      <c r="C8" s="36">
        <v>49</v>
      </c>
      <c r="D8" s="36">
        <v>-13118.629000000001</v>
      </c>
      <c r="E8" s="36">
        <v>1.1335999999999999</v>
      </c>
      <c r="F8" s="36" t="s">
        <v>23</v>
      </c>
      <c r="G8" s="36">
        <v>26335.258000000002</v>
      </c>
      <c r="H8" s="38">
        <v>26690.088</v>
      </c>
      <c r="I8" s="38">
        <v>26641.088</v>
      </c>
      <c r="J8" s="39">
        <v>26485.388999999999</v>
      </c>
      <c r="K8" s="36">
        <v>979.91</v>
      </c>
      <c r="L8" s="36">
        <v>397.02800000000002</v>
      </c>
      <c r="M8" s="36">
        <v>4.1000000000000003E-3</v>
      </c>
      <c r="N8" s="90">
        <v>4.3E-3</v>
      </c>
      <c r="O8" s="37">
        <v>0.85</v>
      </c>
      <c r="P8" s="36">
        <v>2.8539999999999999E-2</v>
      </c>
      <c r="Q8" s="36">
        <v>0.43035000000000001</v>
      </c>
      <c r="R8" s="36">
        <v>0.20147000000000001</v>
      </c>
      <c r="S8" s="36">
        <v>0.10223</v>
      </c>
      <c r="T8" s="36">
        <v>0.23741999999999999</v>
      </c>
      <c r="U8" s="36"/>
      <c r="V8" s="38">
        <v>0</v>
      </c>
      <c r="W8" s="38">
        <v>1</v>
      </c>
    </row>
    <row r="9" spans="1:25" x14ac:dyDescent="0.3">
      <c r="A9" s="25">
        <v>6</v>
      </c>
      <c r="B9" s="26" t="s">
        <v>23</v>
      </c>
      <c r="C9" s="25">
        <v>59</v>
      </c>
      <c r="D9" s="25">
        <v>-13085.394</v>
      </c>
      <c r="E9" s="25">
        <v>1.123</v>
      </c>
      <c r="F9" s="25" t="s">
        <v>23</v>
      </c>
      <c r="G9" s="25">
        <v>26288.787</v>
      </c>
      <c r="H9" s="31">
        <v>26716.031999999999</v>
      </c>
      <c r="I9" s="27">
        <v>26657.031999999999</v>
      </c>
      <c r="J9" s="27">
        <v>26469.558000000001</v>
      </c>
      <c r="K9" s="25">
        <v>558.85199999999998</v>
      </c>
      <c r="L9" s="25">
        <v>323.32900000000001</v>
      </c>
      <c r="M9" s="25">
        <v>8.5999999999999993E-2</v>
      </c>
      <c r="N9" s="25">
        <v>8.7999999999999995E-2</v>
      </c>
      <c r="O9" s="28">
        <v>0.75</v>
      </c>
      <c r="P9" s="25">
        <v>2.179E-2</v>
      </c>
      <c r="Q9" s="25">
        <v>0.25633</v>
      </c>
      <c r="R9" s="25">
        <v>9.7680000000000003E-2</v>
      </c>
      <c r="S9" s="25">
        <v>3.8249999999999999E-2</v>
      </c>
      <c r="T9" s="25">
        <v>0.36564999999999998</v>
      </c>
      <c r="U9" s="25">
        <v>0.22029000000000001</v>
      </c>
      <c r="V9" s="27">
        <v>15.9439999999995</v>
      </c>
      <c r="W9" s="30">
        <v>0</v>
      </c>
    </row>
    <row r="11" spans="1:25" x14ac:dyDescent="0.3">
      <c r="H11">
        <f>MIN(H4:H9)</f>
        <v>26690.088</v>
      </c>
      <c r="I11">
        <f>MIN(I4:I9)</f>
        <v>26641.088</v>
      </c>
      <c r="J11">
        <f>MIN(J4:J9)</f>
        <v>26469.558000000001</v>
      </c>
    </row>
    <row r="13" spans="1:25" x14ac:dyDescent="0.3">
      <c r="B13" t="s">
        <v>30</v>
      </c>
      <c r="K13" t="str">
        <f>C6&amp;"&amp;"&amp;A6&amp;"&amp;"&amp;D6&amp;"&amp;"&amp;I6&amp;" &amp; "&amp;J6&amp;" &amp;"&amp;H6&amp;" &amp;"&amp;ROUND(N6,3)&amp;"&amp;"&amp;ROUND(MAX(P6,Q6,R6),3)&amp;"&amp;"&amp;ROUND(MIN(P6,Q6,R6),3)&amp;"&amp;"&amp;O6</f>
        <v>29&amp;3&amp;-13294,707&amp;26828,416 &amp; 26736,268 &amp;26857,416 &amp;0&amp;0,623&amp;0,116&amp;0,887</v>
      </c>
    </row>
    <row r="14" spans="1:25" x14ac:dyDescent="0.3">
      <c r="B14" t="s">
        <v>31</v>
      </c>
      <c r="K14" t="s">
        <v>162</v>
      </c>
    </row>
    <row r="16" spans="1:25" x14ac:dyDescent="0.3">
      <c r="B16" s="60"/>
      <c r="C16" s="60">
        <v>1</v>
      </c>
      <c r="D16" s="60">
        <v>2</v>
      </c>
      <c r="E16" s="60">
        <v>3</v>
      </c>
      <c r="F16" s="60"/>
      <c r="N16" t="b">
        <f>M5&lt;0.001</f>
        <v>1</v>
      </c>
      <c r="P16">
        <f>ROUND(MAX(P5:Q5),3)</f>
        <v>0.73899999999999999</v>
      </c>
      <c r="Q16">
        <f>ROUND(MIN(P5:Q5),3)</f>
        <v>0.26100000000000001</v>
      </c>
    </row>
    <row r="17" spans="2:38" x14ac:dyDescent="0.3">
      <c r="B17" s="60"/>
      <c r="C17" s="60"/>
      <c r="D17" s="60"/>
      <c r="E17" s="60"/>
      <c r="F17" s="60"/>
      <c r="N17" t="b">
        <f t="shared" ref="N17:N20" si="1">M6&lt;0.001</f>
        <v>1</v>
      </c>
      <c r="P17">
        <f>ROUND(MAX(P6:R6),3)</f>
        <v>0.623</v>
      </c>
      <c r="Q17">
        <f>ROUND(MIN(P6:R6),3)</f>
        <v>0.11600000000000001</v>
      </c>
      <c r="AL17">
        <v>3</v>
      </c>
    </row>
    <row r="18" spans="2:38" x14ac:dyDescent="0.3">
      <c r="B18" s="60">
        <v>1</v>
      </c>
      <c r="C18" s="68">
        <v>0.92600000000000005</v>
      </c>
      <c r="D18" s="68">
        <v>7.3999999999999996E-2</v>
      </c>
      <c r="E18" s="68">
        <v>0</v>
      </c>
      <c r="F18" s="60"/>
      <c r="N18" t="b">
        <f t="shared" si="1"/>
        <v>0</v>
      </c>
      <c r="P18">
        <f>ROUND(MAX(P7:S7),3)</f>
        <v>0.43099999999999999</v>
      </c>
      <c r="Q18">
        <f>ROUND(MIN(P7:S7),3)</f>
        <v>0.10100000000000001</v>
      </c>
    </row>
    <row r="19" spans="2:38" x14ac:dyDescent="0.3">
      <c r="B19" s="60">
        <v>2</v>
      </c>
      <c r="C19" s="68">
        <v>0.115</v>
      </c>
      <c r="D19" s="68">
        <v>0.88500000000000001</v>
      </c>
      <c r="E19" s="68">
        <v>0</v>
      </c>
      <c r="F19" s="60"/>
      <c r="I19" t="s">
        <v>180</v>
      </c>
      <c r="K19" t="s">
        <v>139</v>
      </c>
      <c r="N19" t="b">
        <f t="shared" si="1"/>
        <v>0</v>
      </c>
      <c r="P19">
        <f>ROUND(MAX(P8:T8),3)</f>
        <v>0.43</v>
      </c>
      <c r="Q19">
        <f>ROUND(MIN(P8:T8),3)</f>
        <v>2.9000000000000001E-2</v>
      </c>
    </row>
    <row r="20" spans="2:38" x14ac:dyDescent="0.3">
      <c r="B20" s="60">
        <v>3</v>
      </c>
      <c r="C20" s="68">
        <v>0</v>
      </c>
      <c r="D20" s="68">
        <v>0</v>
      </c>
      <c r="E20" s="68">
        <v>1</v>
      </c>
      <c r="F20" s="60"/>
      <c r="G20" s="67">
        <f>C18</f>
        <v>0.92600000000000005</v>
      </c>
      <c r="H20" t="s">
        <v>141</v>
      </c>
      <c r="I20">
        <v>2364.65274</v>
      </c>
      <c r="J20">
        <v>0.62309999999999999</v>
      </c>
      <c r="K20">
        <v>2519</v>
      </c>
      <c r="L20">
        <v>0.66376999999999997</v>
      </c>
      <c r="N20" t="b">
        <f t="shared" si="1"/>
        <v>0</v>
      </c>
      <c r="P20">
        <f>ROUND(MAX(P9:U9),3)</f>
        <v>0.36599999999999999</v>
      </c>
      <c r="Q20">
        <f>ROUND(MIN(P9:U9),3)</f>
        <v>2.1999999999999999E-2</v>
      </c>
      <c r="V20" s="53"/>
    </row>
    <row r="21" spans="2:38" x14ac:dyDescent="0.3">
      <c r="B21" s="60"/>
      <c r="C21" s="60"/>
      <c r="D21" s="60"/>
      <c r="E21" s="60"/>
      <c r="F21" s="61"/>
      <c r="G21" s="67">
        <f>D19</f>
        <v>0.88500000000000001</v>
      </c>
      <c r="H21" t="s">
        <v>67</v>
      </c>
      <c r="I21">
        <v>440.34733999999997</v>
      </c>
      <c r="J21">
        <v>0.11602999999999999</v>
      </c>
      <c r="K21">
        <v>286</v>
      </c>
      <c r="L21">
        <v>7.5359999999999996E-2</v>
      </c>
    </row>
    <row r="22" spans="2:38" x14ac:dyDescent="0.3">
      <c r="G22" s="67">
        <f>E20</f>
        <v>1</v>
      </c>
      <c r="H22" t="s">
        <v>133</v>
      </c>
      <c r="I22">
        <v>989.99991999999997</v>
      </c>
      <c r="J22">
        <v>0.26086999999999999</v>
      </c>
      <c r="K22">
        <v>990</v>
      </c>
      <c r="L22">
        <v>0.26086999999999999</v>
      </c>
    </row>
    <row r="24" spans="2:38" x14ac:dyDescent="0.3">
      <c r="H24" s="69"/>
    </row>
    <row r="26" spans="2:38" x14ac:dyDescent="0.3">
      <c r="C26" t="s">
        <v>33</v>
      </c>
      <c r="H26">
        <v>2364.65274</v>
      </c>
      <c r="I26">
        <v>0.62309999999999999</v>
      </c>
      <c r="M26" t="s">
        <v>54</v>
      </c>
      <c r="O26">
        <v>440.34733999999997</v>
      </c>
      <c r="P26">
        <v>0.11602999999999999</v>
      </c>
      <c r="R26" t="s">
        <v>55</v>
      </c>
      <c r="T26">
        <v>989.99991999999997</v>
      </c>
      <c r="U26">
        <v>0.26086999999999999</v>
      </c>
      <c r="Y26" s="53"/>
    </row>
    <row r="27" spans="2:38" x14ac:dyDescent="0.3">
      <c r="H27" t="s">
        <v>66</v>
      </c>
      <c r="M27" t="s">
        <v>67</v>
      </c>
      <c r="R27" t="s">
        <v>68</v>
      </c>
    </row>
    <row r="28" spans="2:38" ht="15.6" x14ac:dyDescent="0.3">
      <c r="B28" s="62"/>
      <c r="C28" t="s">
        <v>32</v>
      </c>
      <c r="D28" s="62" t="s">
        <v>34</v>
      </c>
      <c r="G28" t="s">
        <v>53</v>
      </c>
      <c r="H28" s="59" t="s">
        <v>49</v>
      </c>
      <c r="I28" s="59" t="s">
        <v>50</v>
      </c>
      <c r="J28" s="59" t="s">
        <v>51</v>
      </c>
      <c r="K28" s="59" t="s">
        <v>52</v>
      </c>
      <c r="M28" s="59" t="s">
        <v>49</v>
      </c>
      <c r="N28" s="59" t="s">
        <v>50</v>
      </c>
      <c r="O28" s="59" t="s">
        <v>51</v>
      </c>
      <c r="P28" s="59" t="s">
        <v>52</v>
      </c>
      <c r="R28" s="59" t="s">
        <v>49</v>
      </c>
      <c r="S28" s="59" t="s">
        <v>50</v>
      </c>
      <c r="T28" s="59" t="s">
        <v>51</v>
      </c>
      <c r="U28" s="59" t="s">
        <v>52</v>
      </c>
      <c r="W28" s="59"/>
      <c r="X28" s="59"/>
      <c r="Y28" s="59"/>
      <c r="Z28" s="59"/>
    </row>
    <row r="29" spans="2:38" ht="15.6" x14ac:dyDescent="0.3">
      <c r="D29" s="65" t="s">
        <v>39</v>
      </c>
      <c r="G29">
        <v>1</v>
      </c>
      <c r="H29">
        <v>0.82099999999999995</v>
      </c>
      <c r="I29">
        <v>0.01</v>
      </c>
      <c r="J29">
        <v>86.302000000000007</v>
      </c>
      <c r="K29">
        <v>0</v>
      </c>
      <c r="M29">
        <v>0.77100000000000002</v>
      </c>
      <c r="N29">
        <v>2.9000000000000001E-2</v>
      </c>
      <c r="O29">
        <v>26.527999999999999</v>
      </c>
      <c r="P29">
        <v>0</v>
      </c>
      <c r="R29">
        <v>0.94499999999999995</v>
      </c>
      <c r="S29">
        <v>7.0000000000000001E-3</v>
      </c>
      <c r="T29">
        <v>127.22</v>
      </c>
      <c r="U29">
        <v>0</v>
      </c>
      <c r="AB29" s="53"/>
    </row>
    <row r="30" spans="2:38" ht="15.6" x14ac:dyDescent="0.3">
      <c r="D30" s="65" t="s">
        <v>57</v>
      </c>
      <c r="G30">
        <v>2</v>
      </c>
      <c r="H30">
        <v>0.17899999999999999</v>
      </c>
      <c r="I30">
        <v>0.01</v>
      </c>
      <c r="J30">
        <v>18.803999999999998</v>
      </c>
      <c r="K30">
        <v>0</v>
      </c>
      <c r="M30">
        <v>0.22900000000000001</v>
      </c>
      <c r="N30">
        <v>2.9000000000000001E-2</v>
      </c>
      <c r="O30">
        <v>7.89</v>
      </c>
      <c r="P30">
        <v>0</v>
      </c>
      <c r="R30">
        <v>5.5E-2</v>
      </c>
      <c r="S30">
        <v>7.0000000000000001E-3</v>
      </c>
      <c r="T30">
        <v>7.34</v>
      </c>
      <c r="U30">
        <v>0</v>
      </c>
      <c r="AC30" s="53"/>
    </row>
    <row r="31" spans="2:38" ht="15.6" x14ac:dyDescent="0.3">
      <c r="D31" s="64" t="s">
        <v>35</v>
      </c>
    </row>
    <row r="32" spans="2:38" ht="15.6" x14ac:dyDescent="0.3">
      <c r="D32" s="65" t="s">
        <v>39</v>
      </c>
      <c r="G32">
        <v>1</v>
      </c>
      <c r="H32">
        <v>0.92500000000000004</v>
      </c>
      <c r="I32">
        <v>6.0000000000000001E-3</v>
      </c>
      <c r="J32">
        <v>148.506</v>
      </c>
      <c r="K32">
        <v>0</v>
      </c>
      <c r="M32">
        <v>0.82599999999999996</v>
      </c>
      <c r="N32">
        <v>2.7E-2</v>
      </c>
      <c r="O32">
        <v>30.126999999999999</v>
      </c>
      <c r="P32">
        <v>0</v>
      </c>
      <c r="R32">
        <v>0.749</v>
      </c>
      <c r="S32">
        <v>1.4999999999999999E-2</v>
      </c>
      <c r="T32">
        <v>51.645000000000003</v>
      </c>
      <c r="U32">
        <v>0</v>
      </c>
      <c r="AB32" s="53"/>
    </row>
    <row r="33" spans="2:29" ht="15.6" x14ac:dyDescent="0.3">
      <c r="D33" s="65" t="s">
        <v>58</v>
      </c>
      <c r="G33">
        <v>2</v>
      </c>
      <c r="H33">
        <v>7.4999999999999997E-2</v>
      </c>
      <c r="I33">
        <v>6.0000000000000001E-3</v>
      </c>
      <c r="J33">
        <v>12.105</v>
      </c>
      <c r="K33">
        <v>0</v>
      </c>
      <c r="M33">
        <v>0.17399999999999999</v>
      </c>
      <c r="N33">
        <v>2.7E-2</v>
      </c>
      <c r="O33">
        <v>6.3620000000000001</v>
      </c>
      <c r="P33">
        <v>0</v>
      </c>
      <c r="R33">
        <v>0.251</v>
      </c>
      <c r="S33">
        <v>1.4999999999999999E-2</v>
      </c>
      <c r="T33">
        <v>17.260999999999999</v>
      </c>
      <c r="U33">
        <v>0</v>
      </c>
      <c r="AC33" s="53"/>
    </row>
    <row r="34" spans="2:29" ht="15.6" x14ac:dyDescent="0.3">
      <c r="B34" s="62"/>
      <c r="C34" s="62"/>
      <c r="D34" s="62" t="s">
        <v>40</v>
      </c>
    </row>
    <row r="35" spans="2:29" ht="15.6" x14ac:dyDescent="0.3">
      <c r="D35" s="63" t="s">
        <v>39</v>
      </c>
      <c r="G35">
        <v>1</v>
      </c>
      <c r="H35">
        <v>0.97799999999999998</v>
      </c>
      <c r="I35">
        <v>1.0999999999999999E-2</v>
      </c>
      <c r="J35">
        <v>85.799000000000007</v>
      </c>
      <c r="K35">
        <v>0</v>
      </c>
      <c r="M35">
        <v>0.5</v>
      </c>
      <c r="N35">
        <v>8.6999999999999994E-2</v>
      </c>
      <c r="O35">
        <v>5.7279999999999998</v>
      </c>
      <c r="P35">
        <v>0</v>
      </c>
      <c r="R35">
        <v>0.877</v>
      </c>
      <c r="S35">
        <v>1.0999999999999999E-2</v>
      </c>
      <c r="T35">
        <v>79.561000000000007</v>
      </c>
      <c r="U35">
        <v>0</v>
      </c>
      <c r="AB35" s="53"/>
    </row>
    <row r="36" spans="2:29" ht="15.6" x14ac:dyDescent="0.3">
      <c r="D36" s="65" t="s">
        <v>59</v>
      </c>
      <c r="G36">
        <v>2</v>
      </c>
      <c r="H36">
        <v>2.1999999999999999E-2</v>
      </c>
      <c r="I36">
        <v>1.0999999999999999E-2</v>
      </c>
      <c r="J36">
        <v>1.92</v>
      </c>
      <c r="K36">
        <v>5.5E-2</v>
      </c>
      <c r="M36">
        <v>0.5</v>
      </c>
      <c r="N36">
        <v>8.6999999999999994E-2</v>
      </c>
      <c r="O36">
        <v>5.7320000000000002</v>
      </c>
      <c r="P36">
        <v>0</v>
      </c>
      <c r="R36">
        <v>0.123</v>
      </c>
      <c r="S36">
        <v>1.0999999999999999E-2</v>
      </c>
      <c r="T36">
        <v>11.182</v>
      </c>
      <c r="U36">
        <v>0</v>
      </c>
      <c r="AC36" s="53"/>
    </row>
    <row r="37" spans="2:29" ht="15.6" x14ac:dyDescent="0.3">
      <c r="D37" s="62" t="s">
        <v>41</v>
      </c>
    </row>
    <row r="38" spans="2:29" ht="15.6" x14ac:dyDescent="0.3">
      <c r="B38" s="63"/>
      <c r="D38" t="s">
        <v>42</v>
      </c>
      <c r="G38">
        <v>1</v>
      </c>
      <c r="H38">
        <v>0.82599999999999996</v>
      </c>
      <c r="I38">
        <v>2.7E-2</v>
      </c>
      <c r="J38">
        <v>30.041</v>
      </c>
      <c r="K38">
        <v>0</v>
      </c>
      <c r="M38">
        <v>2.5999999999999999E-2</v>
      </c>
      <c r="N38">
        <v>0.1</v>
      </c>
      <c r="O38">
        <v>0.26100000000000001</v>
      </c>
      <c r="P38">
        <v>0.79400000000000004</v>
      </c>
      <c r="R38">
        <v>0.71199999999999997</v>
      </c>
      <c r="S38">
        <v>1.4E-2</v>
      </c>
      <c r="T38">
        <v>49.344000000000001</v>
      </c>
      <c r="U38">
        <v>0</v>
      </c>
    </row>
    <row r="39" spans="2:29" ht="15.6" x14ac:dyDescent="0.3">
      <c r="B39" s="63"/>
      <c r="D39" t="s">
        <v>60</v>
      </c>
      <c r="G39">
        <v>2</v>
      </c>
      <c r="H39">
        <v>0.17399999999999999</v>
      </c>
      <c r="I39">
        <v>2.7E-2</v>
      </c>
      <c r="J39">
        <v>6.34</v>
      </c>
      <c r="K39">
        <v>0</v>
      </c>
      <c r="M39">
        <v>0.97399999999999998</v>
      </c>
      <c r="N39">
        <v>0.1</v>
      </c>
      <c r="O39">
        <v>9.7799999999999994</v>
      </c>
      <c r="P39">
        <v>0</v>
      </c>
      <c r="R39">
        <v>0.28799999999999998</v>
      </c>
      <c r="S39">
        <v>1.4E-2</v>
      </c>
      <c r="T39">
        <v>19.948</v>
      </c>
      <c r="U39">
        <v>0</v>
      </c>
    </row>
    <row r="40" spans="2:29" ht="15.6" x14ac:dyDescent="0.3">
      <c r="D40" s="62" t="s">
        <v>43</v>
      </c>
    </row>
    <row r="41" spans="2:29" ht="15.6" x14ac:dyDescent="0.3">
      <c r="B41" s="63"/>
      <c r="D41" t="s">
        <v>44</v>
      </c>
      <c r="G41">
        <v>1</v>
      </c>
      <c r="H41">
        <v>0.85099999999999998</v>
      </c>
      <c r="I41">
        <v>8.9999999999999993E-3</v>
      </c>
      <c r="J41">
        <v>94.488</v>
      </c>
      <c r="K41">
        <v>0</v>
      </c>
      <c r="M41">
        <v>0.72499999999999998</v>
      </c>
      <c r="N41">
        <v>3.5000000000000003E-2</v>
      </c>
      <c r="O41">
        <v>20.542999999999999</v>
      </c>
      <c r="P41">
        <v>0</v>
      </c>
      <c r="R41">
        <v>0.72399999999999998</v>
      </c>
      <c r="S41">
        <v>1.4999999999999999E-2</v>
      </c>
      <c r="T41">
        <v>48.734999999999999</v>
      </c>
      <c r="U41">
        <v>0</v>
      </c>
      <c r="AB41" s="53"/>
    </row>
    <row r="42" spans="2:29" ht="15.6" x14ac:dyDescent="0.3">
      <c r="B42" s="63"/>
      <c r="D42" t="s">
        <v>61</v>
      </c>
      <c r="G42">
        <v>2</v>
      </c>
      <c r="H42">
        <v>0.14899999999999999</v>
      </c>
      <c r="I42">
        <v>8.9999999999999993E-3</v>
      </c>
      <c r="J42">
        <v>16.587</v>
      </c>
      <c r="K42">
        <v>0</v>
      </c>
      <c r="M42">
        <v>0.27500000000000002</v>
      </c>
      <c r="N42">
        <v>3.5000000000000003E-2</v>
      </c>
      <c r="O42">
        <v>7.7729999999999997</v>
      </c>
      <c r="P42">
        <v>0</v>
      </c>
      <c r="R42">
        <v>0.27600000000000002</v>
      </c>
      <c r="S42">
        <v>1.4999999999999999E-2</v>
      </c>
      <c r="T42">
        <v>18.556000000000001</v>
      </c>
      <c r="U42">
        <v>0</v>
      </c>
      <c r="AB42" s="53"/>
    </row>
    <row r="43" spans="2:29" ht="15.6" x14ac:dyDescent="0.3">
      <c r="B43" s="62"/>
      <c r="D43" s="62" t="s">
        <v>45</v>
      </c>
    </row>
    <row r="44" spans="2:29" ht="15.6" x14ac:dyDescent="0.3">
      <c r="B44" s="63"/>
      <c r="D44" t="s">
        <v>46</v>
      </c>
      <c r="G44">
        <v>1</v>
      </c>
      <c r="H44">
        <v>0.32200000000000001</v>
      </c>
      <c r="I44">
        <v>1.2E-2</v>
      </c>
      <c r="J44">
        <v>27.864999999999998</v>
      </c>
      <c r="K44">
        <v>0</v>
      </c>
      <c r="M44">
        <v>0.32800000000000001</v>
      </c>
      <c r="N44">
        <v>0.04</v>
      </c>
      <c r="O44">
        <v>8.1300000000000008</v>
      </c>
      <c r="P44">
        <v>0</v>
      </c>
      <c r="R44">
        <v>1</v>
      </c>
      <c r="S44">
        <v>0</v>
      </c>
      <c r="T44">
        <v>0</v>
      </c>
      <c r="U44">
        <v>1</v>
      </c>
      <c r="AC44" s="53"/>
    </row>
    <row r="45" spans="2:29" ht="15.6" x14ac:dyDescent="0.3">
      <c r="B45" s="63"/>
      <c r="D45" t="s">
        <v>63</v>
      </c>
      <c r="G45">
        <v>2</v>
      </c>
      <c r="H45">
        <v>0.67800000000000005</v>
      </c>
      <c r="I45">
        <v>1.2E-2</v>
      </c>
      <c r="J45">
        <v>58.545000000000002</v>
      </c>
      <c r="K45">
        <v>0</v>
      </c>
      <c r="M45">
        <v>0.67200000000000004</v>
      </c>
      <c r="N45">
        <v>0.04</v>
      </c>
      <c r="O45">
        <v>16.649999999999999</v>
      </c>
      <c r="P45">
        <v>0</v>
      </c>
      <c r="R45">
        <v>0</v>
      </c>
      <c r="S45">
        <v>0</v>
      </c>
      <c r="T45">
        <v>0</v>
      </c>
      <c r="U45">
        <v>1</v>
      </c>
      <c r="AB45" s="53"/>
    </row>
    <row r="46" spans="2:29" ht="15.6" x14ac:dyDescent="0.3">
      <c r="B46" s="63"/>
      <c r="D46" s="62" t="s">
        <v>45</v>
      </c>
    </row>
    <row r="47" spans="2:29" x14ac:dyDescent="0.3">
      <c r="B47" s="66"/>
      <c r="D47" t="s">
        <v>47</v>
      </c>
      <c r="G47">
        <v>1</v>
      </c>
      <c r="H47">
        <v>1</v>
      </c>
      <c r="I47">
        <v>0</v>
      </c>
      <c r="J47">
        <v>0</v>
      </c>
      <c r="K47">
        <v>1</v>
      </c>
      <c r="M47">
        <v>1</v>
      </c>
      <c r="N47">
        <v>0</v>
      </c>
      <c r="O47">
        <v>0</v>
      </c>
      <c r="P47">
        <v>1</v>
      </c>
      <c r="R47">
        <v>0</v>
      </c>
      <c r="S47">
        <v>0</v>
      </c>
      <c r="T47">
        <v>0</v>
      </c>
      <c r="U47">
        <v>1</v>
      </c>
    </row>
    <row r="48" spans="2:29" x14ac:dyDescent="0.3">
      <c r="D48" t="s">
        <v>62</v>
      </c>
      <c r="G48">
        <v>2</v>
      </c>
      <c r="H48">
        <v>0</v>
      </c>
      <c r="I48">
        <v>0</v>
      </c>
      <c r="J48">
        <v>0</v>
      </c>
      <c r="K48">
        <v>1</v>
      </c>
      <c r="M48">
        <v>0</v>
      </c>
      <c r="N48">
        <v>0</v>
      </c>
      <c r="O48">
        <v>0</v>
      </c>
      <c r="P48">
        <v>1</v>
      </c>
      <c r="R48">
        <v>1</v>
      </c>
      <c r="S48">
        <v>0</v>
      </c>
      <c r="T48">
        <v>0</v>
      </c>
      <c r="U48">
        <v>1</v>
      </c>
    </row>
    <row r="49" spans="2:29" x14ac:dyDescent="0.3">
      <c r="D49" s="66" t="s">
        <v>36</v>
      </c>
    </row>
    <row r="50" spans="2:29" x14ac:dyDescent="0.3">
      <c r="B50" s="66"/>
      <c r="D50" t="s">
        <v>37</v>
      </c>
      <c r="G50">
        <v>1</v>
      </c>
      <c r="H50">
        <v>0.98099999999999998</v>
      </c>
      <c r="I50">
        <v>3.0000000000000001E-3</v>
      </c>
      <c r="J50">
        <v>330.55700000000002</v>
      </c>
      <c r="K50">
        <v>0</v>
      </c>
      <c r="M50">
        <v>0.98199999999999998</v>
      </c>
      <c r="N50">
        <v>8.9999999999999993E-3</v>
      </c>
      <c r="O50">
        <v>113.748</v>
      </c>
      <c r="P50">
        <v>0</v>
      </c>
      <c r="R50">
        <v>0.98699999999999999</v>
      </c>
      <c r="S50">
        <v>4.0000000000000001E-3</v>
      </c>
      <c r="T50">
        <v>272.43099999999998</v>
      </c>
      <c r="U50">
        <v>0</v>
      </c>
      <c r="AA50" s="53"/>
    </row>
    <row r="51" spans="2:29" x14ac:dyDescent="0.3">
      <c r="D51" t="s">
        <v>38</v>
      </c>
      <c r="G51">
        <v>2</v>
      </c>
      <c r="H51">
        <v>1.9E-2</v>
      </c>
      <c r="I51">
        <v>3.0000000000000001E-3</v>
      </c>
      <c r="J51">
        <v>6.3019999999999996</v>
      </c>
      <c r="K51">
        <v>0</v>
      </c>
      <c r="M51">
        <v>1.7999999999999999E-2</v>
      </c>
      <c r="N51">
        <v>8.9999999999999993E-3</v>
      </c>
      <c r="O51">
        <v>2.0409999999999999</v>
      </c>
      <c r="P51">
        <v>4.1000000000000002E-2</v>
      </c>
      <c r="R51">
        <v>1.2999999999999999E-2</v>
      </c>
      <c r="S51">
        <v>4.0000000000000001E-3</v>
      </c>
      <c r="T51">
        <v>3.625</v>
      </c>
      <c r="U51">
        <v>0</v>
      </c>
      <c r="AC51" s="53"/>
    </row>
    <row r="52" spans="2:29" x14ac:dyDescent="0.3">
      <c r="D52" s="66" t="s">
        <v>48</v>
      </c>
    </row>
    <row r="53" spans="2:29" x14ac:dyDescent="0.3">
      <c r="D53" t="s">
        <v>64</v>
      </c>
      <c r="G53">
        <v>1</v>
      </c>
      <c r="H53">
        <v>0.95799999999999996</v>
      </c>
      <c r="I53">
        <v>5.0000000000000001E-3</v>
      </c>
      <c r="J53">
        <v>193.50399999999999</v>
      </c>
      <c r="K53">
        <v>0</v>
      </c>
      <c r="M53">
        <v>0.92800000000000005</v>
      </c>
      <c r="N53">
        <v>1.9E-2</v>
      </c>
      <c r="O53">
        <v>48.826999999999998</v>
      </c>
      <c r="P53">
        <v>0</v>
      </c>
      <c r="R53">
        <v>0.91100000000000003</v>
      </c>
      <c r="S53">
        <v>0.01</v>
      </c>
      <c r="T53">
        <v>86.861999999999995</v>
      </c>
      <c r="U53">
        <v>0</v>
      </c>
      <c r="AA53" s="53"/>
    </row>
    <row r="54" spans="2:29" x14ac:dyDescent="0.3">
      <c r="D54" t="s">
        <v>65</v>
      </c>
      <c r="G54">
        <v>2</v>
      </c>
      <c r="H54">
        <v>4.2000000000000003E-2</v>
      </c>
      <c r="I54">
        <v>5.0000000000000001E-3</v>
      </c>
      <c r="J54">
        <v>8.4779999999999998</v>
      </c>
      <c r="K54">
        <v>0</v>
      </c>
      <c r="M54">
        <v>7.1999999999999995E-2</v>
      </c>
      <c r="N54">
        <v>1.9E-2</v>
      </c>
      <c r="O54">
        <v>3.7930000000000001</v>
      </c>
      <c r="P54">
        <v>0</v>
      </c>
      <c r="R54">
        <v>8.8999999999999996E-2</v>
      </c>
      <c r="S54">
        <v>0.01</v>
      </c>
      <c r="T54">
        <v>8.4740000000000002</v>
      </c>
      <c r="U54">
        <v>0</v>
      </c>
      <c r="AC54" s="53"/>
    </row>
    <row r="61" spans="2:29" x14ac:dyDescent="0.3">
      <c r="U61" s="72"/>
    </row>
    <row r="64" spans="2:29" x14ac:dyDescent="0.3">
      <c r="Q64" t="s">
        <v>140</v>
      </c>
    </row>
    <row r="74" spans="17:18" x14ac:dyDescent="0.3">
      <c r="Q74" t="s">
        <v>106</v>
      </c>
      <c r="R74" t="s">
        <v>101</v>
      </c>
    </row>
    <row r="75" spans="17:18" x14ac:dyDescent="0.3">
      <c r="Q75" t="s">
        <v>107</v>
      </c>
      <c r="R75" t="s">
        <v>110</v>
      </c>
    </row>
    <row r="76" spans="17:18" x14ac:dyDescent="0.3">
      <c r="Q76" t="s">
        <v>108</v>
      </c>
      <c r="R76" t="s">
        <v>109</v>
      </c>
    </row>
    <row r="87" spans="3:12" x14ac:dyDescent="0.3">
      <c r="C87">
        <v>9</v>
      </c>
      <c r="D87">
        <v>-14533.624</v>
      </c>
      <c r="E87">
        <v>29150.420999999998</v>
      </c>
      <c r="F87">
        <v>29141.420999999998</v>
      </c>
      <c r="G87">
        <v>29112.823</v>
      </c>
      <c r="L87">
        <v>0</v>
      </c>
    </row>
    <row r="88" spans="3:12" x14ac:dyDescent="0.3">
      <c r="C88">
        <v>19</v>
      </c>
      <c r="D88">
        <v>-13497.21</v>
      </c>
      <c r="E88">
        <v>27170.007000000001</v>
      </c>
      <c r="F88">
        <v>27151.007000000001</v>
      </c>
      <c r="G88">
        <v>27090.633999999998</v>
      </c>
      <c r="H88">
        <v>0</v>
      </c>
      <c r="I88">
        <v>0.73899999999999999</v>
      </c>
      <c r="J88">
        <v>0.26100000000000001</v>
      </c>
      <c r="K88">
        <v>1</v>
      </c>
      <c r="L88">
        <v>0</v>
      </c>
    </row>
    <row r="89" spans="3:12" x14ac:dyDescent="0.3">
      <c r="C89">
        <v>29</v>
      </c>
      <c r="D89">
        <v>-13294.707</v>
      </c>
      <c r="E89">
        <v>26857.416000000001</v>
      </c>
      <c r="F89">
        <v>26828.416000000001</v>
      </c>
      <c r="G89">
        <v>26736.268</v>
      </c>
      <c r="H89">
        <v>0</v>
      </c>
      <c r="I89">
        <v>0.623</v>
      </c>
      <c r="J89">
        <v>0.11600000000000001</v>
      </c>
      <c r="K89">
        <v>0.88700000000000001</v>
      </c>
      <c r="L89">
        <v>0</v>
      </c>
    </row>
    <row r="90" spans="3:12" x14ac:dyDescent="0.3">
      <c r="C90">
        <v>39</v>
      </c>
      <c r="D90">
        <v>-13200.241</v>
      </c>
      <c r="E90">
        <v>26760.898000000001</v>
      </c>
      <c r="F90">
        <v>26721.898000000001</v>
      </c>
      <c r="G90">
        <v>26597.973999999998</v>
      </c>
      <c r="H90">
        <v>2.3999999999999998E-3</v>
      </c>
      <c r="I90">
        <v>0.43099999999999999</v>
      </c>
      <c r="J90">
        <v>0.10100000000000001</v>
      </c>
      <c r="K90">
        <v>0.82699999999999996</v>
      </c>
      <c r="L90">
        <v>0</v>
      </c>
    </row>
    <row r="91" spans="3:12" x14ac:dyDescent="0.3">
      <c r="C91">
        <v>49</v>
      </c>
      <c r="D91">
        <v>-13118.629000000001</v>
      </c>
      <c r="E91">
        <v>26690.088</v>
      </c>
      <c r="F91">
        <v>26641.088</v>
      </c>
      <c r="G91">
        <v>26485.388999999999</v>
      </c>
      <c r="H91">
        <v>4.3E-3</v>
      </c>
      <c r="I91">
        <v>0.43</v>
      </c>
      <c r="J91">
        <v>2.9000000000000001E-2</v>
      </c>
      <c r="K91">
        <v>0.85</v>
      </c>
      <c r="L91">
        <v>1</v>
      </c>
    </row>
    <row r="92" spans="3:12" x14ac:dyDescent="0.3">
      <c r="C92">
        <v>59</v>
      </c>
      <c r="D92">
        <v>-13085.394</v>
      </c>
      <c r="E92">
        <v>26716.031999999999</v>
      </c>
      <c r="F92">
        <v>26657.031999999999</v>
      </c>
      <c r="G92">
        <v>26469.558000000001</v>
      </c>
      <c r="H92">
        <v>8.7999999999999995E-2</v>
      </c>
      <c r="I92">
        <v>0.36599999999999999</v>
      </c>
      <c r="J92">
        <v>2.1999999999999999E-2</v>
      </c>
      <c r="K92">
        <v>0.75</v>
      </c>
      <c r="L92">
        <v>0</v>
      </c>
    </row>
    <row r="100" spans="3:12" x14ac:dyDescent="0.3">
      <c r="E100" t="s">
        <v>180</v>
      </c>
      <c r="G100" t="s">
        <v>139</v>
      </c>
    </row>
    <row r="101" spans="3:12" x14ac:dyDescent="0.3">
      <c r="C101">
        <v>0.92600000000000005</v>
      </c>
      <c r="D101" t="s">
        <v>141</v>
      </c>
      <c r="E101">
        <v>2364.65274</v>
      </c>
      <c r="F101">
        <v>0.62309999999999999</v>
      </c>
      <c r="G101">
        <v>2519</v>
      </c>
      <c r="H101">
        <v>0.66376999999999997</v>
      </c>
      <c r="I101">
        <v>0.30558000000000002</v>
      </c>
    </row>
    <row r="102" spans="3:12" x14ac:dyDescent="0.3">
      <c r="C102">
        <v>0.88500000000000001</v>
      </c>
      <c r="D102" t="s">
        <v>67</v>
      </c>
      <c r="E102">
        <v>440.34733999999997</v>
      </c>
      <c r="F102">
        <v>0.11602999999999999</v>
      </c>
      <c r="G102">
        <v>286</v>
      </c>
      <c r="H102">
        <v>7.5359999999999996E-2</v>
      </c>
      <c r="I102">
        <v>0.14671999999999999</v>
      </c>
    </row>
    <row r="103" spans="3:12" x14ac:dyDescent="0.3">
      <c r="C103">
        <v>1</v>
      </c>
      <c r="D103" t="s">
        <v>133</v>
      </c>
      <c r="E103">
        <v>989.99991999999997</v>
      </c>
      <c r="F103">
        <v>0.26086999999999999</v>
      </c>
      <c r="G103">
        <v>990</v>
      </c>
      <c r="H103">
        <v>0.26086999999999999</v>
      </c>
      <c r="I103">
        <v>0.54769999999999996</v>
      </c>
    </row>
    <row r="105" spans="3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3:12" x14ac:dyDescent="0.3">
      <c r="C106">
        <v>1</v>
      </c>
      <c r="D106">
        <f>ROUND(F101,3)</f>
        <v>0.623</v>
      </c>
      <c r="E106">
        <f>ROUND(I101,3)</f>
        <v>0.30599999999999999</v>
      </c>
      <c r="F106">
        <f>ROUND(C101,3)</f>
        <v>0.92600000000000005</v>
      </c>
      <c r="G106">
        <f>ROUND((F106/(1-F106))/(D106/(1-D106)),3)</f>
        <v>7.5720000000000001</v>
      </c>
      <c r="H106">
        <f>ROUND(G101/$L$106,3)</f>
        <v>86.861999999999995</v>
      </c>
      <c r="L106">
        <f>C6</f>
        <v>29</v>
      </c>
    </row>
    <row r="107" spans="3:12" x14ac:dyDescent="0.3">
      <c r="C107">
        <v>2</v>
      </c>
      <c r="D107">
        <f t="shared" ref="D107:D108" si="2">ROUND(F102,3)</f>
        <v>0.11600000000000001</v>
      </c>
      <c r="E107">
        <f t="shared" ref="E107:E108" si="3">ROUND(I102,3)</f>
        <v>0.14699999999999999</v>
      </c>
      <c r="F107">
        <f t="shared" ref="F107:F108" si="4">ROUND(C102,3)</f>
        <v>0.88500000000000001</v>
      </c>
      <c r="G107">
        <f>ROUND((F107/(1-F107))/(D107/(1-D107)),3)</f>
        <v>58.646000000000001</v>
      </c>
      <c r="H107">
        <f t="shared" ref="H107:H108" si="5">ROUND(G102/$L$106,3)</f>
        <v>9.8620000000000001</v>
      </c>
    </row>
    <row r="108" spans="3:12" x14ac:dyDescent="0.3">
      <c r="C108">
        <v>3</v>
      </c>
      <c r="D108">
        <f t="shared" si="2"/>
        <v>0.26100000000000001</v>
      </c>
      <c r="E108">
        <f t="shared" si="3"/>
        <v>0.54800000000000004</v>
      </c>
      <c r="F108">
        <f t="shared" si="4"/>
        <v>1</v>
      </c>
      <c r="G108" t="e">
        <f>ROUND((F108/(1-F108))/(D108/(1-D108)),3)</f>
        <v>#DIV/0!</v>
      </c>
      <c r="H108">
        <f t="shared" si="5"/>
        <v>34.137999999999998</v>
      </c>
    </row>
    <row r="110" spans="3:12" x14ac:dyDescent="0.3">
      <c r="C110" t="str">
        <f>C106&amp;"&amp;"&amp;D101&amp;"&amp;"&amp;D106&amp;"&amp;"&amp;E106&amp;"&amp;"&amp;F106&amp;"&amp;"&amp;G106&amp;"&amp;"&amp;H106</f>
        <v>1&amp;Opti&amp;0,623&amp;0,306&amp;0,926&amp;7,572&amp;86,862</v>
      </c>
    </row>
    <row r="111" spans="3:12" x14ac:dyDescent="0.3">
      <c r="C111" t="str">
        <f>C107&amp;"&amp;"&amp;D102&amp;"&amp;"&amp;D107&amp;"&amp;"&amp;E107&amp;"&amp;"&amp;F107&amp;"&amp;"&amp;G107&amp;"&amp;"&amp;H107</f>
        <v>2&amp;ExtreMiss&amp;0,116&amp;0,147&amp;0,885&amp;58,646&amp;9,862</v>
      </c>
    </row>
    <row r="112" spans="3:12" x14ac:dyDescent="0.3">
      <c r="C112" t="str">
        <f>C108&amp;"&amp;"&amp;D103&amp;"&amp;"&amp;D108&amp;"&amp;"&amp;E108&amp;"&amp;"&amp;F108&amp;"&amp;"&amp;"$&gt;$"&amp;"&amp;"&amp;H108</f>
        <v>3&amp;Indiff&amp;0,261&amp;0,548&amp;1&amp;$&gt;$&amp;34,138</v>
      </c>
    </row>
    <row r="114" spans="3:3" x14ac:dyDescent="0.3">
      <c r="C114" t="s">
        <v>238</v>
      </c>
    </row>
    <row r="115" spans="3:3" x14ac:dyDescent="0.3">
      <c r="C115" t="s">
        <v>239</v>
      </c>
    </row>
    <row r="116" spans="3:3" x14ac:dyDescent="0.3">
      <c r="C116" t="s">
        <v>240</v>
      </c>
    </row>
  </sheetData>
  <conditionalFormatting sqref="B28 B34:C34 B38:B39 B41:B52">
    <cfRule type="containsBlanks" priority="20" stopIfTrue="1">
      <formula>LEN(TRIM(B28))=0</formula>
    </cfRule>
  </conditionalFormatting>
  <conditionalFormatting sqref="C18 D19 E20">
    <cfRule type="cellIs" dxfId="65" priority="8" operator="lessThan">
      <formula>0.8</formula>
    </cfRule>
    <cfRule type="cellIs" dxfId="64" priority="10" operator="between">
      <formula>0.8</formula>
      <formula>0.85</formula>
    </cfRule>
    <cfRule type="cellIs" dxfId="63" priority="11" operator="greaterThanOrEqual">
      <formula>0.85</formula>
    </cfRule>
  </conditionalFormatting>
  <conditionalFormatting sqref="C18 D19">
    <cfRule type="cellIs" dxfId="62" priority="9" operator="equal">
      <formula>1</formula>
    </cfRule>
  </conditionalFormatting>
  <conditionalFormatting sqref="D28:D37">
    <cfRule type="containsBlanks" priority="6" stopIfTrue="1">
      <formula>LEN(TRIM(D28))=0</formula>
    </cfRule>
  </conditionalFormatting>
  <conditionalFormatting sqref="D40">
    <cfRule type="containsBlanks" priority="7" stopIfTrue="1">
      <formula>LEN(TRIM(D40))=0</formula>
    </cfRule>
  </conditionalFormatting>
  <conditionalFormatting sqref="D43">
    <cfRule type="containsBlanks" priority="5" stopIfTrue="1">
      <formula>LEN(TRIM(D43))=0</formula>
    </cfRule>
  </conditionalFormatting>
  <conditionalFormatting sqref="D46">
    <cfRule type="containsBlanks" priority="4" stopIfTrue="1">
      <formula>LEN(TRIM(D46))=0</formula>
    </cfRule>
  </conditionalFormatting>
  <conditionalFormatting sqref="D49:D53">
    <cfRule type="containsBlanks" priority="2" stopIfTrue="1">
      <formula>LEN(TRIM(D49))=0</formula>
    </cfRule>
  </conditionalFormatting>
  <conditionalFormatting sqref="H4:J11">
    <cfRule type="duplicateValues" dxfId="61" priority="1"/>
  </conditionalFormatting>
  <conditionalFormatting sqref="P4:P9">
    <cfRule type="cellIs" dxfId="60" priority="25" stopIfTrue="1" operator="between">
      <formula>0</formula>
      <formula>0.05</formula>
    </cfRule>
  </conditionalFormatting>
  <conditionalFormatting sqref="Q5:Q9">
    <cfRule type="cellIs" dxfId="59" priority="26" stopIfTrue="1" operator="between">
      <formula>0</formula>
      <formula>0.05</formula>
    </cfRule>
  </conditionalFormatting>
  <conditionalFormatting sqref="R6:R9">
    <cfRule type="cellIs" dxfId="58" priority="27" stopIfTrue="1" operator="between">
      <formula>0</formula>
      <formula>0.05</formula>
    </cfRule>
  </conditionalFormatting>
  <conditionalFormatting sqref="S7:S9">
    <cfRule type="cellIs" dxfId="57" priority="28" stopIfTrue="1" operator="between">
      <formula>0</formula>
      <formula>0.05</formula>
    </cfRule>
  </conditionalFormatting>
  <conditionalFormatting sqref="T8:T9">
    <cfRule type="cellIs" dxfId="56" priority="29" stopIfTrue="1" operator="between">
      <formula>0</formula>
      <formula>0.05</formula>
    </cfRule>
  </conditionalFormatting>
  <conditionalFormatting sqref="U9">
    <cfRule type="cellIs" dxfId="55" priority="30" stopIfTrue="1" operator="between">
      <formula>0</formula>
      <formula>0.05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76"/>
  <sheetViews>
    <sheetView zoomScale="85" zoomScaleNormal="85" workbookViewId="0">
      <pane xSplit="1" ySplit="1" topLeftCell="B124" activePane="bottomRight" state="frozen"/>
      <selection activeCell="K19" sqref="K19"/>
      <selection pane="topRight" activeCell="K19" sqref="K19"/>
      <selection pane="bottomLeft" activeCell="K19" sqref="K19"/>
      <selection pane="bottomRight" activeCell="R128" activeCellId="8" sqref="R104 R107 R110 R113 R116 R119 R122 R125 R128"/>
    </sheetView>
  </sheetViews>
  <sheetFormatPr defaultColWidth="11.5546875" defaultRowHeight="14.4" x14ac:dyDescent="0.3"/>
  <cols>
    <col min="11" max="23" width="11.5546875" customWidth="1"/>
  </cols>
  <sheetData>
    <row r="1" spans="1:25" ht="17.399999999999999" x14ac:dyDescent="0.35">
      <c r="A1" s="1" t="s">
        <v>170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26</v>
      </c>
      <c r="Y3" t="s">
        <v>27</v>
      </c>
    </row>
    <row r="4" spans="1:25" x14ac:dyDescent="0.3">
      <c r="A4">
        <v>1</v>
      </c>
      <c r="B4" s="2" t="s">
        <v>23</v>
      </c>
      <c r="C4">
        <v>9</v>
      </c>
      <c r="D4">
        <v>-22385.455999999998</v>
      </c>
      <c r="E4">
        <v>1.1073</v>
      </c>
      <c r="F4" t="s">
        <v>23</v>
      </c>
      <c r="G4">
        <v>44788.911</v>
      </c>
      <c r="H4" s="3">
        <v>44857.534</v>
      </c>
      <c r="I4" s="3">
        <v>44848.534</v>
      </c>
      <c r="J4" s="3">
        <v>44819.934999999998</v>
      </c>
      <c r="K4">
        <v>22710.505000000001</v>
      </c>
      <c r="L4">
        <v>7814.3630000000003</v>
      </c>
      <c r="P4">
        <v>1</v>
      </c>
      <c r="V4" s="3">
        <v>7143.9780000000001</v>
      </c>
      <c r="W4" s="3">
        <v>0</v>
      </c>
      <c r="X4">
        <f>I4-$I$11</f>
        <v>7143.9780000000028</v>
      </c>
      <c r="Y4" cm="1">
        <f t="array" ref="Y4">ROUND(EXP(-0.5*X4)/SUM(EXP(-0.5*$X$4:$X$8)),3)</f>
        <v>0</v>
      </c>
    </row>
    <row r="5" spans="1:25" x14ac:dyDescent="0.3">
      <c r="A5">
        <v>2</v>
      </c>
      <c r="B5" s="2" t="s">
        <v>23</v>
      </c>
      <c r="C5">
        <v>19</v>
      </c>
      <c r="D5">
        <v>-19344.681</v>
      </c>
      <c r="E5">
        <v>1.0582</v>
      </c>
      <c r="F5" t="s">
        <v>23</v>
      </c>
      <c r="G5">
        <v>38727.362000000001</v>
      </c>
      <c r="H5" s="4">
        <v>38872.233</v>
      </c>
      <c r="I5" s="12">
        <v>38853.233</v>
      </c>
      <c r="J5" s="20">
        <v>38792.857000000004</v>
      </c>
      <c r="K5">
        <v>2550.011</v>
      </c>
      <c r="L5">
        <v>1841.2249999999999</v>
      </c>
      <c r="M5">
        <v>0</v>
      </c>
      <c r="N5">
        <v>0</v>
      </c>
      <c r="O5" s="2">
        <v>1</v>
      </c>
      <c r="P5">
        <v>0.72701000000000005</v>
      </c>
      <c r="Q5">
        <v>0.27299000000000001</v>
      </c>
      <c r="V5" s="12">
        <v>1148.6769999999999</v>
      </c>
      <c r="W5" s="3">
        <v>0</v>
      </c>
      <c r="X5">
        <f t="shared" ref="X5:X8" si="0">I5-$I$11</f>
        <v>1148.6770000000033</v>
      </c>
      <c r="Y5" cm="1">
        <f t="array" ref="Y5">ROUND(EXP(-0.5*X5)/SUM(EXP(-0.5*$X$4:$X$8)),3)</f>
        <v>0</v>
      </c>
    </row>
    <row r="6" spans="1:25" x14ac:dyDescent="0.3">
      <c r="A6">
        <v>3</v>
      </c>
      <c r="B6" s="2" t="s">
        <v>23</v>
      </c>
      <c r="C6">
        <v>29</v>
      </c>
      <c r="D6">
        <v>-18928.395</v>
      </c>
      <c r="E6">
        <v>1.0617000000000001</v>
      </c>
      <c r="F6" t="s">
        <v>23</v>
      </c>
      <c r="G6">
        <v>37914.790999999997</v>
      </c>
      <c r="H6" s="7">
        <v>38135.910000000003</v>
      </c>
      <c r="I6" s="13">
        <v>38106.910000000003</v>
      </c>
      <c r="J6" s="15">
        <v>38014.756000000001</v>
      </c>
      <c r="K6">
        <v>1524.9110000000001</v>
      </c>
      <c r="L6">
        <v>1021.9930000000001</v>
      </c>
      <c r="M6">
        <v>0</v>
      </c>
      <c r="N6">
        <v>0</v>
      </c>
      <c r="O6" s="2">
        <v>0.91400000000000003</v>
      </c>
      <c r="P6">
        <v>0.19574</v>
      </c>
      <c r="Q6">
        <v>0.27299000000000001</v>
      </c>
      <c r="R6">
        <v>0.53127000000000002</v>
      </c>
      <c r="V6" s="13">
        <v>402.35400000000698</v>
      </c>
      <c r="W6" s="3">
        <v>0</v>
      </c>
      <c r="X6">
        <f t="shared" si="0"/>
        <v>402.35400000000664</v>
      </c>
      <c r="Y6" cm="1">
        <f t="array" ref="Y6">ROUND(EXP(-0.5*X6)/SUM(EXP(-0.5*$X$4:$X$8)),3)</f>
        <v>0</v>
      </c>
    </row>
    <row r="7" spans="1:25" x14ac:dyDescent="0.3">
      <c r="A7" s="78">
        <v>4</v>
      </c>
      <c r="B7" s="79" t="s">
        <v>23</v>
      </c>
      <c r="C7" s="80">
        <v>39</v>
      </c>
      <c r="D7" s="80">
        <v>-18736.787</v>
      </c>
      <c r="E7" s="80">
        <v>1.0465</v>
      </c>
      <c r="F7" s="80" t="s">
        <v>23</v>
      </c>
      <c r="G7" s="80">
        <v>37551.574999999997</v>
      </c>
      <c r="H7" s="81">
        <v>37848.940999999999</v>
      </c>
      <c r="I7" s="81">
        <v>37809.940999999999</v>
      </c>
      <c r="J7" s="82">
        <v>37686.010999999999</v>
      </c>
      <c r="K7" s="80">
        <v>1104.7840000000001</v>
      </c>
      <c r="L7" s="80">
        <v>643.65899999999999</v>
      </c>
      <c r="M7" s="80">
        <v>0</v>
      </c>
      <c r="N7" s="80">
        <v>0</v>
      </c>
      <c r="O7" s="79">
        <v>0.93200000000000005</v>
      </c>
      <c r="P7" s="80">
        <v>0.10183</v>
      </c>
      <c r="Q7" s="80">
        <v>0.19574</v>
      </c>
      <c r="R7" s="80">
        <v>0.53127000000000002</v>
      </c>
      <c r="S7" s="80">
        <v>0.17116000000000001</v>
      </c>
      <c r="T7" s="80"/>
      <c r="U7" s="80"/>
      <c r="V7" s="81">
        <v>105.38500000000199</v>
      </c>
      <c r="W7" s="83">
        <v>0</v>
      </c>
      <c r="X7" s="80">
        <f t="shared" si="0"/>
        <v>105.38500000000204</v>
      </c>
      <c r="Y7" s="84" cm="1">
        <f t="array" ref="Y7">ROUND(EXP(-0.5*X7)/SUM(EXP(-0.5*$X$4:$X$8)),3)</f>
        <v>0</v>
      </c>
    </row>
    <row r="8" spans="1:25" x14ac:dyDescent="0.3">
      <c r="A8">
        <v>5</v>
      </c>
      <c r="B8" s="2" t="s">
        <v>23</v>
      </c>
      <c r="C8">
        <v>49</v>
      </c>
      <c r="D8">
        <v>-18641.350999999999</v>
      </c>
      <c r="E8">
        <v>1.0941000000000001</v>
      </c>
      <c r="F8" t="s">
        <v>23</v>
      </c>
      <c r="G8">
        <v>37380.701999999997</v>
      </c>
      <c r="H8" s="6">
        <v>37754.315999999999</v>
      </c>
      <c r="I8" s="6">
        <v>37705.315999999999</v>
      </c>
      <c r="J8" s="5">
        <v>37549.608999999997</v>
      </c>
      <c r="K8">
        <v>796.67899999999997</v>
      </c>
      <c r="L8">
        <v>456.42700000000002</v>
      </c>
      <c r="M8">
        <v>1.8E-3</v>
      </c>
      <c r="N8" s="67">
        <v>1.9E-3</v>
      </c>
      <c r="O8" s="3">
        <v>0.93200000000000005</v>
      </c>
      <c r="P8">
        <v>7.9729999999999995E-2</v>
      </c>
      <c r="Q8">
        <v>0.12435</v>
      </c>
      <c r="R8">
        <v>0.13388</v>
      </c>
      <c r="S8">
        <v>0.57977000000000001</v>
      </c>
      <c r="T8">
        <v>8.2269999999999996E-2</v>
      </c>
      <c r="V8" s="6">
        <v>0.76000000000203705</v>
      </c>
      <c r="W8" s="85">
        <v>0.40600000000000003</v>
      </c>
      <c r="X8">
        <f t="shared" si="0"/>
        <v>0.76000000000203727</v>
      </c>
      <c r="Y8" cm="1">
        <f t="array" ref="Y8">ROUND(EXP(-0.5*X8)/SUM(EXP(-0.5*$X$4:$X$8)),3)</f>
        <v>1</v>
      </c>
    </row>
    <row r="9" spans="1:25" x14ac:dyDescent="0.3">
      <c r="A9" s="25">
        <v>6</v>
      </c>
      <c r="B9" s="26" t="s">
        <v>23</v>
      </c>
      <c r="C9" s="25">
        <v>59</v>
      </c>
      <c r="D9" s="25">
        <v>-18597.846000000001</v>
      </c>
      <c r="E9" s="25">
        <v>1.2537</v>
      </c>
      <c r="F9" s="25" t="s">
        <v>23</v>
      </c>
      <c r="G9" s="25">
        <v>37313.692999999999</v>
      </c>
      <c r="H9" s="27">
        <v>37763.555999999997</v>
      </c>
      <c r="I9" s="27">
        <v>37704.555999999997</v>
      </c>
      <c r="J9" s="27">
        <v>37517.072</v>
      </c>
      <c r="K9" s="25">
        <v>757.61500000000001</v>
      </c>
      <c r="L9" s="25">
        <v>390.54300000000001</v>
      </c>
      <c r="M9" s="25">
        <v>0.4325</v>
      </c>
      <c r="N9" s="89">
        <v>0.43540000000000001</v>
      </c>
      <c r="O9" s="28">
        <v>0.8</v>
      </c>
      <c r="P9" s="25">
        <v>0.1208</v>
      </c>
      <c r="Q9" s="25">
        <v>0.10915999999999999</v>
      </c>
      <c r="R9" s="25">
        <v>0.13292000000000001</v>
      </c>
      <c r="S9" s="25">
        <v>9.4259999999999997E-2</v>
      </c>
      <c r="T9" s="25">
        <v>8.2900000000000001E-2</v>
      </c>
      <c r="U9" s="25">
        <v>0.45995000000000003</v>
      </c>
      <c r="V9" s="27">
        <v>0</v>
      </c>
      <c r="W9" s="86">
        <v>0.59399999999999997</v>
      </c>
    </row>
    <row r="10" spans="1:25" x14ac:dyDescent="0.3">
      <c r="Q10" t="b">
        <f>M5&lt;0.001</f>
        <v>1</v>
      </c>
    </row>
    <row r="11" spans="1:25" x14ac:dyDescent="0.3">
      <c r="H11">
        <f>MIN(H4:H9)</f>
        <v>37754.315999999999</v>
      </c>
      <c r="I11">
        <f>MIN(I4:I9)</f>
        <v>37704.555999999997</v>
      </c>
      <c r="J11">
        <f>MIN(J4:J9)</f>
        <v>37517.072</v>
      </c>
      <c r="Q11" t="b">
        <f>M6&lt;0.001</f>
        <v>1</v>
      </c>
    </row>
    <row r="12" spans="1:25" x14ac:dyDescent="0.3">
      <c r="Q12" t="b">
        <f>M7&lt;0.001</f>
        <v>1</v>
      </c>
    </row>
    <row r="13" spans="1:25" ht="23.4" x14ac:dyDescent="0.45">
      <c r="A13" s="73" t="s">
        <v>72</v>
      </c>
      <c r="B13" t="s">
        <v>30</v>
      </c>
      <c r="J13" t="str">
        <f>C6&amp;"&amp;"&amp;A6&amp;"&amp;"&amp;D6&amp;"&amp;"&amp;I6&amp;" &amp; "&amp;J6&amp;" &amp;"&amp;H6&amp;" &amp;"&amp;ROUND(N6,3)&amp;"&amp;"&amp;ROUND(MAX(P6,Q6,R6),3)&amp;"&amp;"&amp;ROUND(MIN(P6,Q6,R6),3)&amp;"&amp;"&amp;O6</f>
        <v>29&amp;3&amp;-18928,395&amp;38106,91 &amp; 38014,756 &amp;38135,91 &amp;0&amp;0,531&amp;0,196&amp;0,914</v>
      </c>
      <c r="Q13" t="b">
        <f>M8&lt;0.001</f>
        <v>0</v>
      </c>
    </row>
    <row r="14" spans="1:25" x14ac:dyDescent="0.3">
      <c r="B14" t="s">
        <v>31</v>
      </c>
      <c r="J14" t="s">
        <v>165</v>
      </c>
      <c r="Q14" t="b">
        <f>M9&lt;0.001</f>
        <v>0</v>
      </c>
    </row>
    <row r="16" spans="1:25" x14ac:dyDescent="0.3">
      <c r="B16" s="60"/>
      <c r="C16" s="60">
        <v>1</v>
      </c>
      <c r="D16" s="60">
        <v>2</v>
      </c>
      <c r="E16" s="60">
        <v>3</v>
      </c>
      <c r="F16" s="60">
        <v>4</v>
      </c>
      <c r="P16">
        <f>ROUND(MAX(P5:Q5),3)</f>
        <v>0.72699999999999998</v>
      </c>
      <c r="Q16">
        <f>ROUND(MIN(P5:Q5),3)</f>
        <v>0.27300000000000002</v>
      </c>
    </row>
    <row r="17" spans="2:26" ht="28.8" x14ac:dyDescent="0.3">
      <c r="B17" s="60"/>
      <c r="C17" s="60"/>
      <c r="D17" s="60"/>
      <c r="E17" s="60"/>
      <c r="F17" s="60"/>
      <c r="I17" s="69" t="s">
        <v>146</v>
      </c>
      <c r="L17" t="s">
        <v>147</v>
      </c>
      <c r="P17">
        <f>ROUND(MAX(P6:R6),3)</f>
        <v>0.53100000000000003</v>
      </c>
      <c r="Q17">
        <f>ROUND(MIN(P6:R6),3)</f>
        <v>0.19600000000000001</v>
      </c>
    </row>
    <row r="18" spans="2:26" x14ac:dyDescent="0.3">
      <c r="B18" s="60">
        <v>1</v>
      </c>
      <c r="C18" s="68">
        <v>1</v>
      </c>
      <c r="D18" s="68">
        <v>0</v>
      </c>
      <c r="E18" s="68">
        <v>0</v>
      </c>
      <c r="F18" s="68">
        <v>0</v>
      </c>
      <c r="G18" s="67">
        <f>C18</f>
        <v>1</v>
      </c>
      <c r="H18" t="s">
        <v>152</v>
      </c>
      <c r="I18">
        <v>953.00025000000005</v>
      </c>
      <c r="J18">
        <v>0.17116000000000001</v>
      </c>
      <c r="L18">
        <v>953</v>
      </c>
      <c r="M18">
        <v>0.17116000000000001</v>
      </c>
      <c r="P18">
        <f>ROUND(MAX(P7:S7),3)</f>
        <v>0.53100000000000003</v>
      </c>
      <c r="Q18">
        <f>ROUND(MIN(P7:S7),3)</f>
        <v>0.10199999999999999</v>
      </c>
    </row>
    <row r="19" spans="2:26" x14ac:dyDescent="0.3">
      <c r="B19" s="60">
        <v>2</v>
      </c>
      <c r="C19" s="68">
        <v>0</v>
      </c>
      <c r="D19" s="68">
        <v>1</v>
      </c>
      <c r="E19" s="68">
        <v>0</v>
      </c>
      <c r="F19" s="68">
        <v>0</v>
      </c>
      <c r="G19" s="67">
        <f>D19</f>
        <v>1</v>
      </c>
      <c r="H19" t="s">
        <v>141</v>
      </c>
      <c r="I19">
        <v>2958.12592</v>
      </c>
      <c r="J19">
        <v>0.53127000000000002</v>
      </c>
      <c r="L19">
        <v>2725</v>
      </c>
      <c r="M19">
        <v>0.4894</v>
      </c>
      <c r="P19">
        <f>ROUND(MAX(P8:T8),3)</f>
        <v>0.57999999999999996</v>
      </c>
      <c r="Q19">
        <f>ROUND(MIN(P8:T8),3)</f>
        <v>0.08</v>
      </c>
    </row>
    <row r="20" spans="2:26" x14ac:dyDescent="0.3">
      <c r="B20" s="60">
        <v>3</v>
      </c>
      <c r="C20" s="68">
        <v>0</v>
      </c>
      <c r="D20" s="68">
        <v>0.17599999999999999</v>
      </c>
      <c r="E20" s="68">
        <v>0.82399999999999995</v>
      </c>
      <c r="F20" s="68">
        <v>0</v>
      </c>
      <c r="G20" s="67">
        <f>E20</f>
        <v>0.82399999999999995</v>
      </c>
      <c r="H20" t="s">
        <v>153</v>
      </c>
      <c r="I20">
        <v>1089.87393</v>
      </c>
      <c r="J20">
        <v>0.19574</v>
      </c>
      <c r="L20">
        <v>1323</v>
      </c>
      <c r="M20">
        <v>0.23760999999999999</v>
      </c>
      <c r="P20">
        <f>ROUND(MAX(P9:U9),3)</f>
        <v>0.46</v>
      </c>
      <c r="Q20">
        <f>ROUND(MIN(P9:U9),3)</f>
        <v>8.3000000000000004E-2</v>
      </c>
    </row>
    <row r="21" spans="2:26" x14ac:dyDescent="0.3">
      <c r="B21" s="60">
        <v>4</v>
      </c>
      <c r="C21" s="68">
        <v>0</v>
      </c>
      <c r="D21" s="68">
        <v>0</v>
      </c>
      <c r="E21" s="68">
        <v>0</v>
      </c>
      <c r="F21" s="68">
        <v>1</v>
      </c>
      <c r="G21" s="67">
        <f>F21</f>
        <v>1</v>
      </c>
      <c r="H21" t="s">
        <v>154</v>
      </c>
      <c r="I21">
        <v>566.99991</v>
      </c>
      <c r="J21">
        <v>0.10183</v>
      </c>
      <c r="L21">
        <v>567</v>
      </c>
      <c r="M21">
        <v>0.10183</v>
      </c>
    </row>
    <row r="26" spans="2:26" x14ac:dyDescent="0.3">
      <c r="C26" t="s">
        <v>33</v>
      </c>
      <c r="I26">
        <v>953.00025000000005</v>
      </c>
      <c r="J26">
        <v>0.17116000000000001</v>
      </c>
      <c r="M26" t="s">
        <v>54</v>
      </c>
      <c r="O26">
        <v>2958.12592</v>
      </c>
      <c r="P26">
        <v>0.53127000000000002</v>
      </c>
      <c r="R26" t="s">
        <v>55</v>
      </c>
      <c r="T26">
        <v>1089.87393</v>
      </c>
      <c r="U26">
        <v>0.19574</v>
      </c>
      <c r="W26" t="s">
        <v>56</v>
      </c>
      <c r="Y26">
        <v>566.99991</v>
      </c>
      <c r="Z26">
        <v>0.10183</v>
      </c>
    </row>
    <row r="27" spans="2:26" x14ac:dyDescent="0.3">
      <c r="I27" t="s">
        <v>68</v>
      </c>
      <c r="M27" t="s">
        <v>66</v>
      </c>
      <c r="R27" t="s">
        <v>153</v>
      </c>
      <c r="W27" t="s">
        <v>155</v>
      </c>
    </row>
    <row r="28" spans="2:26" ht="15.6" x14ac:dyDescent="0.3">
      <c r="B28" s="62"/>
      <c r="C28" t="s">
        <v>32</v>
      </c>
      <c r="D28" s="62" t="s">
        <v>34</v>
      </c>
      <c r="G28" t="s">
        <v>53</v>
      </c>
      <c r="H28" s="59" t="s">
        <v>49</v>
      </c>
      <c r="I28" s="59" t="s">
        <v>50</v>
      </c>
      <c r="J28" s="59" t="s">
        <v>51</v>
      </c>
      <c r="K28" s="59" t="s">
        <v>52</v>
      </c>
      <c r="M28" s="59" t="s">
        <v>49</v>
      </c>
      <c r="N28" s="59" t="s">
        <v>50</v>
      </c>
      <c r="O28" s="59" t="s">
        <v>51</v>
      </c>
      <c r="P28" s="59" t="s">
        <v>52</v>
      </c>
      <c r="R28" s="59" t="s">
        <v>49</v>
      </c>
      <c r="S28" s="59" t="s">
        <v>50</v>
      </c>
      <c r="T28" s="59" t="s">
        <v>51</v>
      </c>
      <c r="U28" s="59" t="s">
        <v>52</v>
      </c>
      <c r="W28" s="59" t="s">
        <v>49</v>
      </c>
      <c r="X28" s="59" t="s">
        <v>50</v>
      </c>
      <c r="Y28" s="59" t="s">
        <v>51</v>
      </c>
      <c r="Z28" s="59" t="s">
        <v>52</v>
      </c>
    </row>
    <row r="29" spans="2:26" ht="15.6" x14ac:dyDescent="0.3">
      <c r="D29" s="65" t="s">
        <v>39</v>
      </c>
      <c r="G29">
        <v>1</v>
      </c>
      <c r="H29">
        <v>0.93600000000000005</v>
      </c>
      <c r="I29">
        <v>8.0000000000000002E-3</v>
      </c>
      <c r="J29">
        <v>114.875</v>
      </c>
      <c r="K29">
        <v>0</v>
      </c>
      <c r="M29">
        <v>0.82</v>
      </c>
      <c r="N29">
        <v>8.0000000000000002E-3</v>
      </c>
      <c r="O29">
        <v>106.389</v>
      </c>
      <c r="P29">
        <v>0</v>
      </c>
      <c r="R29">
        <v>0.81699999999999995</v>
      </c>
      <c r="S29">
        <v>1.2999999999999999E-2</v>
      </c>
      <c r="T29">
        <v>62.238999999999997</v>
      </c>
      <c r="U29">
        <v>0</v>
      </c>
      <c r="W29">
        <v>0.92900000000000005</v>
      </c>
      <c r="X29">
        <v>1.0999999999999999E-2</v>
      </c>
      <c r="Y29">
        <v>84.504999999999995</v>
      </c>
      <c r="Z29">
        <v>0</v>
      </c>
    </row>
    <row r="30" spans="2:26" ht="15.6" x14ac:dyDescent="0.3">
      <c r="D30" s="65" t="s">
        <v>57</v>
      </c>
      <c r="G30">
        <v>2</v>
      </c>
      <c r="H30">
        <v>6.4000000000000001E-2</v>
      </c>
      <c r="I30">
        <v>8.0000000000000002E-3</v>
      </c>
      <c r="J30">
        <v>7.8559999999999999</v>
      </c>
      <c r="K30">
        <v>0</v>
      </c>
      <c r="M30">
        <v>0.18</v>
      </c>
      <c r="N30">
        <v>8.0000000000000002E-3</v>
      </c>
      <c r="O30">
        <v>23.344000000000001</v>
      </c>
      <c r="P30">
        <v>0</v>
      </c>
      <c r="R30">
        <v>0.183</v>
      </c>
      <c r="S30">
        <v>1.2999999999999999E-2</v>
      </c>
      <c r="T30">
        <v>13.962999999999999</v>
      </c>
      <c r="U30">
        <v>0</v>
      </c>
      <c r="W30">
        <v>7.0999999999999994E-2</v>
      </c>
      <c r="X30">
        <v>1.0999999999999999E-2</v>
      </c>
      <c r="Y30">
        <v>6.4139999999999997</v>
      </c>
      <c r="Z30">
        <v>0</v>
      </c>
    </row>
    <row r="31" spans="2:26" ht="15.6" x14ac:dyDescent="0.3">
      <c r="D31" s="64" t="s">
        <v>35</v>
      </c>
    </row>
    <row r="32" spans="2:26" ht="15.6" x14ac:dyDescent="0.3">
      <c r="D32" s="65" t="s">
        <v>39</v>
      </c>
      <c r="G32">
        <v>1</v>
      </c>
      <c r="H32">
        <v>0.59899999999999998</v>
      </c>
      <c r="I32">
        <v>1.7000000000000001E-2</v>
      </c>
      <c r="J32">
        <v>36.124000000000002</v>
      </c>
      <c r="K32">
        <v>0</v>
      </c>
      <c r="M32">
        <v>0.95699999999999996</v>
      </c>
      <c r="N32">
        <v>4.0000000000000001E-3</v>
      </c>
      <c r="O32">
        <v>245.511</v>
      </c>
      <c r="P32">
        <v>0</v>
      </c>
      <c r="R32">
        <v>0.92600000000000005</v>
      </c>
      <c r="S32">
        <v>1.4E-2</v>
      </c>
      <c r="T32">
        <v>67.647000000000006</v>
      </c>
      <c r="U32">
        <v>0</v>
      </c>
      <c r="W32">
        <v>0.63800000000000001</v>
      </c>
      <c r="X32">
        <v>0.02</v>
      </c>
      <c r="Y32">
        <v>31.265000000000001</v>
      </c>
      <c r="Z32">
        <v>0</v>
      </c>
    </row>
    <row r="33" spans="2:26" ht="15.6" x14ac:dyDescent="0.3">
      <c r="D33" s="65" t="s">
        <v>58</v>
      </c>
      <c r="G33">
        <v>2</v>
      </c>
      <c r="H33">
        <v>0.40100000000000002</v>
      </c>
      <c r="I33">
        <v>1.7000000000000001E-2</v>
      </c>
      <c r="J33">
        <v>24.167000000000002</v>
      </c>
      <c r="K33">
        <v>0</v>
      </c>
      <c r="M33">
        <v>4.2999999999999997E-2</v>
      </c>
      <c r="N33">
        <v>4.0000000000000001E-3</v>
      </c>
      <c r="O33">
        <v>10.929</v>
      </c>
      <c r="P33">
        <v>0</v>
      </c>
      <c r="R33">
        <v>7.3999999999999996E-2</v>
      </c>
      <c r="S33">
        <v>1.4E-2</v>
      </c>
      <c r="T33">
        <v>5.4260000000000002</v>
      </c>
      <c r="U33">
        <v>0</v>
      </c>
      <c r="W33">
        <v>0.36199999999999999</v>
      </c>
      <c r="X33">
        <v>0.02</v>
      </c>
      <c r="Y33">
        <v>17.704999999999998</v>
      </c>
      <c r="Z33">
        <v>0</v>
      </c>
    </row>
    <row r="34" spans="2:26" ht="15.6" x14ac:dyDescent="0.3">
      <c r="B34" s="62"/>
      <c r="C34" s="62"/>
      <c r="D34" s="62" t="s">
        <v>40</v>
      </c>
    </row>
    <row r="35" spans="2:26" ht="15.6" x14ac:dyDescent="0.3">
      <c r="D35" s="63" t="s">
        <v>39</v>
      </c>
      <c r="G35">
        <v>1</v>
      </c>
      <c r="H35">
        <v>0.95399999999999996</v>
      </c>
      <c r="I35">
        <v>7.0000000000000001E-3</v>
      </c>
      <c r="J35">
        <v>140.91</v>
      </c>
      <c r="K35">
        <v>0</v>
      </c>
      <c r="M35">
        <v>0.97499999999999998</v>
      </c>
      <c r="N35">
        <v>3.0000000000000001E-3</v>
      </c>
      <c r="O35">
        <v>317.75</v>
      </c>
      <c r="P35">
        <v>0</v>
      </c>
      <c r="R35">
        <v>0.57699999999999996</v>
      </c>
      <c r="S35">
        <v>0.11899999999999999</v>
      </c>
      <c r="T35">
        <v>4.8499999999999996</v>
      </c>
      <c r="U35">
        <v>0</v>
      </c>
      <c r="W35">
        <v>0.54900000000000004</v>
      </c>
      <c r="X35">
        <v>2.1999999999999999E-2</v>
      </c>
      <c r="Y35">
        <v>25.312999999999999</v>
      </c>
      <c r="Z35">
        <v>0</v>
      </c>
    </row>
    <row r="36" spans="2:26" ht="15.6" x14ac:dyDescent="0.3">
      <c r="D36" s="65" t="s">
        <v>59</v>
      </c>
      <c r="G36">
        <v>2</v>
      </c>
      <c r="H36">
        <v>4.5999999999999999E-2</v>
      </c>
      <c r="I36">
        <v>7.0000000000000001E-3</v>
      </c>
      <c r="J36">
        <v>6.8209999999999997</v>
      </c>
      <c r="K36">
        <v>0</v>
      </c>
      <c r="M36">
        <v>2.5000000000000001E-2</v>
      </c>
      <c r="N36">
        <v>3.0000000000000001E-3</v>
      </c>
      <c r="O36">
        <v>8.1319999999999997</v>
      </c>
      <c r="P36">
        <v>0</v>
      </c>
      <c r="R36">
        <v>0.42299999999999999</v>
      </c>
      <c r="S36">
        <v>0.11899999999999999</v>
      </c>
      <c r="T36">
        <v>3.5569999999999999</v>
      </c>
      <c r="U36">
        <v>0</v>
      </c>
      <c r="W36">
        <v>0.45100000000000001</v>
      </c>
      <c r="X36">
        <v>2.1999999999999999E-2</v>
      </c>
      <c r="Y36">
        <v>20.835999999999999</v>
      </c>
      <c r="Z36">
        <v>0</v>
      </c>
    </row>
    <row r="37" spans="2:26" ht="15.6" x14ac:dyDescent="0.3">
      <c r="D37" s="62" t="s">
        <v>41</v>
      </c>
    </row>
    <row r="38" spans="2:26" ht="15.6" x14ac:dyDescent="0.3">
      <c r="B38" s="63"/>
      <c r="D38" t="s">
        <v>42</v>
      </c>
      <c r="G38">
        <v>1</v>
      </c>
      <c r="H38">
        <v>1</v>
      </c>
      <c r="I38">
        <v>0</v>
      </c>
      <c r="J38">
        <v>0</v>
      </c>
      <c r="K38">
        <v>1</v>
      </c>
      <c r="M38">
        <v>0.92100000000000004</v>
      </c>
      <c r="N38">
        <v>0.1</v>
      </c>
      <c r="O38">
        <v>9.1820000000000004</v>
      </c>
      <c r="P38">
        <v>0</v>
      </c>
      <c r="R38">
        <v>0</v>
      </c>
      <c r="S38">
        <v>0</v>
      </c>
      <c r="T38">
        <v>0</v>
      </c>
      <c r="U38">
        <v>1</v>
      </c>
      <c r="W38">
        <v>0</v>
      </c>
      <c r="X38">
        <v>0</v>
      </c>
      <c r="Y38">
        <v>0</v>
      </c>
      <c r="Z38">
        <v>1</v>
      </c>
    </row>
    <row r="39" spans="2:26" ht="15.6" x14ac:dyDescent="0.3">
      <c r="B39" s="63"/>
      <c r="D39" t="s">
        <v>60</v>
      </c>
      <c r="G39">
        <v>2</v>
      </c>
      <c r="H39">
        <v>0</v>
      </c>
      <c r="I39">
        <v>0</v>
      </c>
      <c r="J39">
        <v>0</v>
      </c>
      <c r="K39">
        <v>1</v>
      </c>
      <c r="M39">
        <v>7.9000000000000001E-2</v>
      </c>
      <c r="N39">
        <v>0.1</v>
      </c>
      <c r="O39">
        <v>0.78500000000000003</v>
      </c>
      <c r="P39">
        <v>0.432</v>
      </c>
      <c r="R39">
        <v>1</v>
      </c>
      <c r="S39">
        <v>0</v>
      </c>
      <c r="T39">
        <v>0</v>
      </c>
      <c r="U39">
        <v>1</v>
      </c>
      <c r="W39">
        <v>1</v>
      </c>
      <c r="X39">
        <v>0</v>
      </c>
      <c r="Y39">
        <v>0</v>
      </c>
      <c r="Z39">
        <v>1</v>
      </c>
    </row>
    <row r="40" spans="2:26" ht="15.6" x14ac:dyDescent="0.3">
      <c r="D40" s="62" t="s">
        <v>43</v>
      </c>
    </row>
    <row r="41" spans="2:26" ht="15.6" x14ac:dyDescent="0.3">
      <c r="B41" s="63"/>
      <c r="D41" t="s">
        <v>44</v>
      </c>
      <c r="G41">
        <v>1</v>
      </c>
      <c r="H41">
        <v>0.59899999999999998</v>
      </c>
      <c r="I41">
        <v>1.6E-2</v>
      </c>
      <c r="J41">
        <v>36.9</v>
      </c>
      <c r="K41">
        <v>0</v>
      </c>
      <c r="M41">
        <v>0.84599999999999997</v>
      </c>
      <c r="N41">
        <v>7.0000000000000001E-3</v>
      </c>
      <c r="O41">
        <v>122.374</v>
      </c>
      <c r="P41">
        <v>0</v>
      </c>
      <c r="R41">
        <v>0.85799999999999998</v>
      </c>
      <c r="S41">
        <v>1.2E-2</v>
      </c>
      <c r="T41">
        <v>74.066999999999993</v>
      </c>
      <c r="U41">
        <v>0</v>
      </c>
      <c r="W41">
        <v>0.57299999999999995</v>
      </c>
      <c r="X41">
        <v>2.1000000000000001E-2</v>
      </c>
      <c r="Y41">
        <v>27.126999999999999</v>
      </c>
      <c r="Z41">
        <v>0</v>
      </c>
    </row>
    <row r="42" spans="2:26" ht="15.6" x14ac:dyDescent="0.3">
      <c r="B42" s="63"/>
      <c r="D42" t="s">
        <v>61</v>
      </c>
      <c r="G42">
        <v>2</v>
      </c>
      <c r="H42">
        <v>0.40100000000000002</v>
      </c>
      <c r="I42">
        <v>1.6E-2</v>
      </c>
      <c r="J42">
        <v>24.686</v>
      </c>
      <c r="K42">
        <v>0</v>
      </c>
      <c r="M42">
        <v>0.154</v>
      </c>
      <c r="N42">
        <v>7.0000000000000001E-3</v>
      </c>
      <c r="O42">
        <v>22.190999999999999</v>
      </c>
      <c r="P42">
        <v>0</v>
      </c>
      <c r="R42">
        <v>0.14199999999999999</v>
      </c>
      <c r="S42">
        <v>1.2E-2</v>
      </c>
      <c r="T42">
        <v>12.273</v>
      </c>
      <c r="U42">
        <v>0</v>
      </c>
      <c r="W42">
        <v>0.42699999999999999</v>
      </c>
      <c r="X42">
        <v>2.1000000000000001E-2</v>
      </c>
      <c r="Y42">
        <v>20.199000000000002</v>
      </c>
      <c r="Z42">
        <v>0</v>
      </c>
    </row>
    <row r="43" spans="2:26" ht="15.6" x14ac:dyDescent="0.3">
      <c r="B43" s="62"/>
      <c r="D43" s="62" t="s">
        <v>45</v>
      </c>
    </row>
    <row r="44" spans="2:26" ht="15.6" x14ac:dyDescent="0.3">
      <c r="B44" s="63"/>
      <c r="D44" t="s">
        <v>46</v>
      </c>
      <c r="G44">
        <v>1</v>
      </c>
      <c r="H44">
        <v>1</v>
      </c>
      <c r="I44">
        <v>0</v>
      </c>
      <c r="J44">
        <v>0</v>
      </c>
      <c r="K44">
        <v>1</v>
      </c>
      <c r="M44">
        <v>0.1</v>
      </c>
      <c r="N44">
        <v>6.0000000000000001E-3</v>
      </c>
      <c r="O44">
        <v>16.753</v>
      </c>
      <c r="P44">
        <v>0</v>
      </c>
      <c r="R44">
        <v>0.13400000000000001</v>
      </c>
      <c r="S44">
        <v>1.7999999999999999E-2</v>
      </c>
      <c r="T44">
        <v>7.4180000000000001</v>
      </c>
      <c r="U44">
        <v>0</v>
      </c>
      <c r="W44">
        <v>1</v>
      </c>
      <c r="X44">
        <v>0</v>
      </c>
      <c r="Y44">
        <v>0</v>
      </c>
      <c r="Z44">
        <v>1</v>
      </c>
    </row>
    <row r="45" spans="2:26" ht="15.6" x14ac:dyDescent="0.3">
      <c r="B45" s="63"/>
      <c r="D45" t="s">
        <v>63</v>
      </c>
      <c r="G45">
        <v>2</v>
      </c>
      <c r="H45">
        <v>0</v>
      </c>
      <c r="I45">
        <v>0</v>
      </c>
      <c r="J45">
        <v>0</v>
      </c>
      <c r="K45">
        <v>1</v>
      </c>
      <c r="M45">
        <v>0.9</v>
      </c>
      <c r="N45">
        <v>6.0000000000000001E-3</v>
      </c>
      <c r="O45">
        <v>150.727</v>
      </c>
      <c r="P45">
        <v>0</v>
      </c>
      <c r="R45">
        <v>0.86599999999999999</v>
      </c>
      <c r="S45">
        <v>1.7999999999999999E-2</v>
      </c>
      <c r="T45">
        <v>47.92</v>
      </c>
      <c r="U45">
        <v>0</v>
      </c>
      <c r="W45">
        <v>0</v>
      </c>
      <c r="X45">
        <v>0</v>
      </c>
      <c r="Y45">
        <v>0</v>
      </c>
      <c r="Z45">
        <v>1</v>
      </c>
    </row>
    <row r="46" spans="2:26" ht="15.6" x14ac:dyDescent="0.3">
      <c r="B46" s="63"/>
      <c r="D46" s="62" t="s">
        <v>45</v>
      </c>
    </row>
    <row r="47" spans="2:26" x14ac:dyDescent="0.3">
      <c r="B47" s="66"/>
      <c r="D47" t="s">
        <v>47</v>
      </c>
      <c r="G47">
        <v>1</v>
      </c>
      <c r="H47">
        <v>0</v>
      </c>
      <c r="I47">
        <v>0</v>
      </c>
      <c r="J47">
        <v>0</v>
      </c>
      <c r="K47">
        <v>1</v>
      </c>
      <c r="M47">
        <v>1</v>
      </c>
      <c r="N47">
        <v>0</v>
      </c>
      <c r="O47">
        <v>0</v>
      </c>
      <c r="P47">
        <v>1</v>
      </c>
      <c r="R47">
        <v>1</v>
      </c>
      <c r="S47">
        <v>0</v>
      </c>
      <c r="T47">
        <v>0</v>
      </c>
      <c r="U47">
        <v>1</v>
      </c>
      <c r="W47">
        <v>0</v>
      </c>
      <c r="X47">
        <v>0</v>
      </c>
      <c r="Y47">
        <v>0</v>
      </c>
      <c r="Z47">
        <v>1</v>
      </c>
    </row>
    <row r="48" spans="2:26" x14ac:dyDescent="0.3">
      <c r="D48" t="s">
        <v>62</v>
      </c>
      <c r="G48">
        <v>2</v>
      </c>
      <c r="H48">
        <v>1</v>
      </c>
      <c r="I48">
        <v>0</v>
      </c>
      <c r="J48">
        <v>0</v>
      </c>
      <c r="K48">
        <v>1</v>
      </c>
      <c r="M48">
        <v>0</v>
      </c>
      <c r="N48">
        <v>0</v>
      </c>
      <c r="O48">
        <v>0</v>
      </c>
      <c r="P48">
        <v>1</v>
      </c>
      <c r="R48">
        <v>0</v>
      </c>
      <c r="S48">
        <v>0</v>
      </c>
      <c r="T48">
        <v>0</v>
      </c>
      <c r="U48">
        <v>1</v>
      </c>
      <c r="W48">
        <v>1</v>
      </c>
      <c r="X48">
        <v>0</v>
      </c>
      <c r="Y48">
        <v>0</v>
      </c>
      <c r="Z48">
        <v>1</v>
      </c>
    </row>
    <row r="49" spans="2:27" x14ac:dyDescent="0.3">
      <c r="D49" s="66" t="s">
        <v>36</v>
      </c>
    </row>
    <row r="50" spans="2:27" x14ac:dyDescent="0.3">
      <c r="B50" s="66"/>
      <c r="D50" t="s">
        <v>37</v>
      </c>
      <c r="G50">
        <v>1</v>
      </c>
      <c r="H50">
        <v>0.97499999999999998</v>
      </c>
      <c r="I50">
        <v>5.0000000000000001E-3</v>
      </c>
      <c r="J50">
        <v>191.792</v>
      </c>
      <c r="K50">
        <v>0</v>
      </c>
      <c r="M50">
        <v>0.98499999999999999</v>
      </c>
      <c r="N50">
        <v>3.0000000000000001E-3</v>
      </c>
      <c r="O50">
        <v>370.47899999999998</v>
      </c>
      <c r="P50">
        <v>0</v>
      </c>
      <c r="R50">
        <v>0.97099999999999997</v>
      </c>
      <c r="S50">
        <v>5.0000000000000001E-3</v>
      </c>
      <c r="T50">
        <v>195.33199999999999</v>
      </c>
      <c r="U50">
        <v>0</v>
      </c>
      <c r="W50">
        <v>0.94899999999999995</v>
      </c>
      <c r="X50">
        <v>8.9999999999999993E-3</v>
      </c>
      <c r="Y50">
        <v>102.28700000000001</v>
      </c>
      <c r="Z50">
        <v>0</v>
      </c>
      <c r="AA50" s="53"/>
    </row>
    <row r="51" spans="2:27" x14ac:dyDescent="0.3">
      <c r="D51" t="s">
        <v>38</v>
      </c>
      <c r="G51">
        <v>2</v>
      </c>
      <c r="H51">
        <v>2.5000000000000001E-2</v>
      </c>
      <c r="I51">
        <v>5.0000000000000001E-3</v>
      </c>
      <c r="J51">
        <v>4.9550000000000001</v>
      </c>
      <c r="K51">
        <v>0</v>
      </c>
      <c r="M51">
        <v>1.4999999999999999E-2</v>
      </c>
      <c r="N51">
        <v>3.0000000000000001E-3</v>
      </c>
      <c r="O51">
        <v>5.6790000000000003</v>
      </c>
      <c r="P51">
        <v>0</v>
      </c>
      <c r="R51">
        <v>2.9000000000000001E-2</v>
      </c>
      <c r="S51">
        <v>5.0000000000000001E-3</v>
      </c>
      <c r="T51">
        <v>5.7830000000000004</v>
      </c>
      <c r="U51">
        <v>0</v>
      </c>
      <c r="W51">
        <v>5.0999999999999997E-2</v>
      </c>
      <c r="X51">
        <v>8.9999999999999993E-3</v>
      </c>
      <c r="Y51">
        <v>5.5140000000000002</v>
      </c>
      <c r="Z51">
        <v>0</v>
      </c>
    </row>
    <row r="52" spans="2:27" x14ac:dyDescent="0.3">
      <c r="D52" s="66" t="s">
        <v>48</v>
      </c>
    </row>
    <row r="53" spans="2:27" x14ac:dyDescent="0.3">
      <c r="D53" t="s">
        <v>64</v>
      </c>
      <c r="G53">
        <v>1</v>
      </c>
      <c r="H53">
        <v>0.85599999999999998</v>
      </c>
      <c r="I53">
        <v>1.2E-2</v>
      </c>
      <c r="J53">
        <v>70.260000000000005</v>
      </c>
      <c r="K53">
        <v>0</v>
      </c>
      <c r="M53">
        <v>0.95799999999999996</v>
      </c>
      <c r="N53">
        <v>4.0000000000000001E-3</v>
      </c>
      <c r="O53">
        <v>234.45099999999999</v>
      </c>
      <c r="P53">
        <v>0</v>
      </c>
      <c r="R53">
        <v>0.96099999999999997</v>
      </c>
      <c r="S53">
        <v>7.0000000000000001E-3</v>
      </c>
      <c r="T53">
        <v>143.36199999999999</v>
      </c>
      <c r="U53">
        <v>0</v>
      </c>
      <c r="W53">
        <v>0.85699999999999998</v>
      </c>
      <c r="X53">
        <v>1.4999999999999999E-2</v>
      </c>
      <c r="Y53">
        <v>58.457999999999998</v>
      </c>
      <c r="Z53">
        <v>0</v>
      </c>
      <c r="AA53" s="53"/>
    </row>
    <row r="54" spans="2:27" x14ac:dyDescent="0.3">
      <c r="D54" t="s">
        <v>65</v>
      </c>
      <c r="G54">
        <v>2</v>
      </c>
      <c r="H54">
        <v>0.14399999999999999</v>
      </c>
      <c r="I54">
        <v>1.2E-2</v>
      </c>
      <c r="J54">
        <v>11.795999999999999</v>
      </c>
      <c r="K54">
        <v>0</v>
      </c>
      <c r="M54">
        <v>4.2000000000000003E-2</v>
      </c>
      <c r="N54">
        <v>4.0000000000000001E-3</v>
      </c>
      <c r="O54">
        <v>10.273</v>
      </c>
      <c r="P54">
        <v>0</v>
      </c>
      <c r="R54">
        <v>3.9E-2</v>
      </c>
      <c r="S54">
        <v>7.0000000000000001E-3</v>
      </c>
      <c r="T54">
        <v>5.8630000000000004</v>
      </c>
      <c r="U54">
        <v>0</v>
      </c>
      <c r="W54">
        <v>0.14299999999999999</v>
      </c>
      <c r="X54">
        <v>1.4999999999999999E-2</v>
      </c>
      <c r="Y54">
        <v>9.7430000000000003</v>
      </c>
      <c r="Z54">
        <v>0</v>
      </c>
    </row>
    <row r="59" spans="2:27" x14ac:dyDescent="0.3">
      <c r="Q59" t="s">
        <v>152</v>
      </c>
      <c r="R59">
        <v>1</v>
      </c>
      <c r="S59" t="s">
        <v>150</v>
      </c>
    </row>
    <row r="60" spans="2:27" x14ac:dyDescent="0.3">
      <c r="Q60" t="s">
        <v>141</v>
      </c>
      <c r="R60">
        <v>2</v>
      </c>
      <c r="S60" t="s">
        <v>148</v>
      </c>
    </row>
    <row r="61" spans="2:27" x14ac:dyDescent="0.3">
      <c r="Q61" t="s">
        <v>153</v>
      </c>
      <c r="R61">
        <v>3</v>
      </c>
      <c r="S61" t="s">
        <v>149</v>
      </c>
    </row>
    <row r="62" spans="2:27" x14ac:dyDescent="0.3">
      <c r="Q62" t="s">
        <v>154</v>
      </c>
      <c r="R62">
        <v>4</v>
      </c>
      <c r="S62" t="s">
        <v>151</v>
      </c>
    </row>
    <row r="65" spans="6:17" x14ac:dyDescent="0.3">
      <c r="Q65" t="s">
        <v>156</v>
      </c>
    </row>
    <row r="77" spans="6:17" x14ac:dyDescent="0.3">
      <c r="F77">
        <v>9</v>
      </c>
      <c r="G77">
        <v>-22385.455999999998</v>
      </c>
      <c r="H77">
        <v>44857.534</v>
      </c>
      <c r="I77">
        <v>44848.534</v>
      </c>
      <c r="J77">
        <v>44819.934999999998</v>
      </c>
      <c r="O77">
        <v>0</v>
      </c>
    </row>
    <row r="78" spans="6:17" x14ac:dyDescent="0.3">
      <c r="F78">
        <v>19</v>
      </c>
      <c r="G78">
        <v>-19344.681</v>
      </c>
      <c r="H78">
        <v>38872.233</v>
      </c>
      <c r="I78">
        <v>38853.233</v>
      </c>
      <c r="J78">
        <v>38792.857000000004</v>
      </c>
      <c r="K78">
        <v>0</v>
      </c>
      <c r="L78">
        <v>0.72699999999999998</v>
      </c>
      <c r="M78">
        <v>0.27300000000000002</v>
      </c>
      <c r="N78">
        <v>1</v>
      </c>
      <c r="O78">
        <v>0</v>
      </c>
    </row>
    <row r="79" spans="6:17" x14ac:dyDescent="0.3">
      <c r="F79">
        <v>29</v>
      </c>
      <c r="G79">
        <v>-18928.395</v>
      </c>
      <c r="H79">
        <v>38135.910000000003</v>
      </c>
      <c r="I79">
        <v>38106.910000000003</v>
      </c>
      <c r="J79">
        <v>38014.756000000001</v>
      </c>
      <c r="K79">
        <v>0</v>
      </c>
      <c r="L79">
        <v>0.53100000000000003</v>
      </c>
      <c r="M79">
        <v>0.19600000000000001</v>
      </c>
      <c r="N79">
        <v>0.91400000000000003</v>
      </c>
      <c r="O79">
        <v>0</v>
      </c>
    </row>
    <row r="80" spans="6:17" x14ac:dyDescent="0.3">
      <c r="F80">
        <v>39</v>
      </c>
      <c r="G80">
        <v>-18736.787</v>
      </c>
      <c r="H80">
        <v>37848.940999999999</v>
      </c>
      <c r="I80">
        <v>37809.940999999999</v>
      </c>
      <c r="J80">
        <v>37686.010999999999</v>
      </c>
      <c r="K80">
        <v>0</v>
      </c>
      <c r="L80">
        <v>0.53100000000000003</v>
      </c>
      <c r="M80">
        <v>0.10199999999999999</v>
      </c>
      <c r="N80">
        <v>0.93200000000000005</v>
      </c>
      <c r="O80">
        <v>0</v>
      </c>
    </row>
    <row r="81" spans="1:15" x14ac:dyDescent="0.3">
      <c r="F81">
        <v>49</v>
      </c>
      <c r="G81">
        <v>-18641.350999999999</v>
      </c>
      <c r="H81">
        <v>37754.315999999999</v>
      </c>
      <c r="I81">
        <v>37705.315999999999</v>
      </c>
      <c r="J81">
        <v>37549.608999999997</v>
      </c>
      <c r="K81">
        <v>1.9E-3</v>
      </c>
      <c r="L81">
        <v>0.57999999999999996</v>
      </c>
      <c r="M81">
        <v>0.08</v>
      </c>
      <c r="N81">
        <v>0.93200000000000005</v>
      </c>
      <c r="O81">
        <v>0.40600000000000003</v>
      </c>
    </row>
    <row r="82" spans="1:15" x14ac:dyDescent="0.3">
      <c r="F82">
        <v>59</v>
      </c>
      <c r="G82">
        <v>-18597.846000000001</v>
      </c>
      <c r="H82">
        <v>37763.555999999997</v>
      </c>
      <c r="I82">
        <v>37704.555999999997</v>
      </c>
      <c r="J82">
        <v>37517.072</v>
      </c>
      <c r="K82">
        <v>0.43540000000000001</v>
      </c>
      <c r="L82">
        <v>0.46</v>
      </c>
      <c r="M82">
        <v>8.3000000000000004E-2</v>
      </c>
      <c r="N82">
        <v>0.8</v>
      </c>
      <c r="O82">
        <v>0.59399999999999997</v>
      </c>
    </row>
    <row r="87" spans="1:15" ht="23.4" x14ac:dyDescent="0.45">
      <c r="A87" s="73" t="s">
        <v>71</v>
      </c>
      <c r="B87" t="s">
        <v>30</v>
      </c>
    </row>
    <row r="88" spans="1:15" x14ac:dyDescent="0.3">
      <c r="B88" t="s">
        <v>31</v>
      </c>
    </row>
    <row r="90" spans="1:15" x14ac:dyDescent="0.3">
      <c r="B90" s="60"/>
      <c r="C90" s="60">
        <v>1</v>
      </c>
      <c r="D90" s="60">
        <v>2</v>
      </c>
      <c r="E90" s="60">
        <v>3</v>
      </c>
      <c r="F90" s="60"/>
    </row>
    <row r="91" spans="1:15" x14ac:dyDescent="0.3">
      <c r="B91" s="60"/>
      <c r="C91" s="60"/>
      <c r="D91" s="60"/>
      <c r="E91" s="60"/>
      <c r="F91" s="60"/>
      <c r="I91" s="69"/>
    </row>
    <row r="92" spans="1:15" x14ac:dyDescent="0.3">
      <c r="B92" s="60">
        <v>1</v>
      </c>
      <c r="C92" s="68">
        <v>0.82399999999999995</v>
      </c>
      <c r="D92" s="68">
        <v>0</v>
      </c>
      <c r="E92" s="68">
        <v>0.17599999999999999</v>
      </c>
      <c r="F92" s="68"/>
    </row>
    <row r="93" spans="1:15" x14ac:dyDescent="0.3">
      <c r="B93" s="60">
        <v>2</v>
      </c>
      <c r="C93" s="68">
        <v>0</v>
      </c>
      <c r="D93" s="68">
        <v>1</v>
      </c>
      <c r="E93" s="68">
        <v>0</v>
      </c>
      <c r="F93" s="68"/>
    </row>
    <row r="94" spans="1:15" x14ac:dyDescent="0.3">
      <c r="B94" s="60">
        <v>3</v>
      </c>
      <c r="C94" s="68">
        <v>0</v>
      </c>
      <c r="D94" s="68">
        <v>0</v>
      </c>
      <c r="E94" s="68">
        <v>1</v>
      </c>
      <c r="F94" s="68"/>
      <c r="I94" t="s">
        <v>146</v>
      </c>
      <c r="L94" t="s">
        <v>157</v>
      </c>
    </row>
    <row r="95" spans="1:15" x14ac:dyDescent="0.3">
      <c r="B95" s="60"/>
      <c r="C95" s="68"/>
      <c r="D95" s="68"/>
      <c r="E95" s="68"/>
      <c r="F95" s="68"/>
      <c r="G95" s="67">
        <f>C92</f>
        <v>0.82399999999999995</v>
      </c>
      <c r="H95" t="s">
        <v>67</v>
      </c>
      <c r="I95">
        <v>1089.87339</v>
      </c>
      <c r="J95">
        <v>0.19574</v>
      </c>
      <c r="L95">
        <v>1323</v>
      </c>
      <c r="M95">
        <v>0.23760999999999999</v>
      </c>
    </row>
    <row r="96" spans="1:15" x14ac:dyDescent="0.3">
      <c r="G96" s="67">
        <f>D93</f>
        <v>1</v>
      </c>
      <c r="H96" t="s">
        <v>73</v>
      </c>
      <c r="I96">
        <v>1520.0001099999999</v>
      </c>
      <c r="J96">
        <v>0.27299000000000001</v>
      </c>
      <c r="L96">
        <v>1520</v>
      </c>
      <c r="M96">
        <v>0.27299000000000001</v>
      </c>
    </row>
    <row r="97" spans="2:31" x14ac:dyDescent="0.3">
      <c r="G97" s="67">
        <f>E94</f>
        <v>1</v>
      </c>
      <c r="H97" t="s">
        <v>74</v>
      </c>
      <c r="I97">
        <v>2958.1264999999999</v>
      </c>
      <c r="J97">
        <v>0.53127000000000002</v>
      </c>
      <c r="L97">
        <v>2725</v>
      </c>
      <c r="M97">
        <v>0.4894</v>
      </c>
    </row>
    <row r="100" spans="2:31" x14ac:dyDescent="0.3">
      <c r="C100" t="s">
        <v>33</v>
      </c>
      <c r="I100">
        <v>1089.87339</v>
      </c>
      <c r="J100">
        <v>0.19574</v>
      </c>
      <c r="M100" t="s">
        <v>54</v>
      </c>
      <c r="O100">
        <v>1520.0001099999999</v>
      </c>
      <c r="P100">
        <v>0.27299000000000001</v>
      </c>
      <c r="R100" t="s">
        <v>55</v>
      </c>
      <c r="T100">
        <v>2958.1264999999999</v>
      </c>
      <c r="U100">
        <v>0.53127000000000002</v>
      </c>
    </row>
    <row r="101" spans="2:31" x14ac:dyDescent="0.3">
      <c r="H101" t="s">
        <v>67</v>
      </c>
      <c r="M101" t="s">
        <v>73</v>
      </c>
      <c r="R101" t="s">
        <v>74</v>
      </c>
    </row>
    <row r="102" spans="2:31" ht="15.6" x14ac:dyDescent="0.3">
      <c r="B102" s="62"/>
      <c r="C102" t="s">
        <v>32</v>
      </c>
      <c r="D102" s="62" t="s">
        <v>34</v>
      </c>
      <c r="G102" t="s">
        <v>53</v>
      </c>
      <c r="H102" s="59" t="s">
        <v>49</v>
      </c>
      <c r="I102" s="59" t="s">
        <v>50</v>
      </c>
      <c r="J102" s="59" t="s">
        <v>51</v>
      </c>
      <c r="K102" s="59" t="s">
        <v>52</v>
      </c>
      <c r="M102" s="59" t="s">
        <v>49</v>
      </c>
      <c r="N102" s="59" t="s">
        <v>50</v>
      </c>
      <c r="O102" s="59" t="s">
        <v>51</v>
      </c>
      <c r="P102" s="59" t="s">
        <v>52</v>
      </c>
      <c r="R102" s="59" t="s">
        <v>49</v>
      </c>
      <c r="S102" s="59" t="s">
        <v>50</v>
      </c>
      <c r="T102" s="59" t="s">
        <v>51</v>
      </c>
      <c r="U102" s="59" t="s">
        <v>52</v>
      </c>
      <c r="W102" s="59"/>
      <c r="X102" s="59"/>
      <c r="Y102" s="59"/>
      <c r="Z102" s="59"/>
    </row>
    <row r="103" spans="2:31" ht="15.6" x14ac:dyDescent="0.3">
      <c r="D103" s="65" t="s">
        <v>39</v>
      </c>
      <c r="G103">
        <v>1</v>
      </c>
      <c r="H103">
        <v>0.81699999999999995</v>
      </c>
      <c r="I103">
        <v>1.2999999999999999E-2</v>
      </c>
      <c r="J103">
        <v>62.238999999999997</v>
      </c>
      <c r="K103">
        <v>0</v>
      </c>
      <c r="M103">
        <v>0.93400000000000005</v>
      </c>
      <c r="N103">
        <v>7.0000000000000001E-3</v>
      </c>
      <c r="O103">
        <v>142.30000000000001</v>
      </c>
      <c r="P103">
        <v>0</v>
      </c>
      <c r="R103">
        <v>0.82</v>
      </c>
      <c r="S103">
        <v>8.0000000000000002E-3</v>
      </c>
      <c r="T103">
        <v>106.389</v>
      </c>
      <c r="U103">
        <v>0</v>
      </c>
    </row>
    <row r="104" spans="2:31" ht="15.6" x14ac:dyDescent="0.3">
      <c r="D104" s="65" t="s">
        <v>57</v>
      </c>
      <c r="G104">
        <v>2</v>
      </c>
      <c r="H104">
        <v>0.183</v>
      </c>
      <c r="I104">
        <v>1.2999999999999999E-2</v>
      </c>
      <c r="J104">
        <v>13.962999999999999</v>
      </c>
      <c r="K104">
        <v>0</v>
      </c>
      <c r="M104">
        <v>6.6000000000000003E-2</v>
      </c>
      <c r="N104">
        <v>7.0000000000000001E-3</v>
      </c>
      <c r="O104">
        <v>10.128</v>
      </c>
      <c r="P104">
        <v>0</v>
      </c>
      <c r="R104">
        <v>0.18</v>
      </c>
      <c r="S104">
        <v>8.0000000000000002E-3</v>
      </c>
      <c r="T104">
        <v>23.344000000000001</v>
      </c>
      <c r="U104">
        <v>0</v>
      </c>
    </row>
    <row r="105" spans="2:31" ht="15.6" x14ac:dyDescent="0.3">
      <c r="D105" s="64" t="s">
        <v>35</v>
      </c>
    </row>
    <row r="106" spans="2:31" ht="15.6" x14ac:dyDescent="0.3">
      <c r="D106" s="65" t="s">
        <v>39</v>
      </c>
      <c r="G106">
        <v>1</v>
      </c>
      <c r="H106">
        <v>0.92600000000000005</v>
      </c>
      <c r="I106">
        <v>1.4E-2</v>
      </c>
      <c r="J106">
        <v>67.646000000000001</v>
      </c>
      <c r="K106">
        <v>0</v>
      </c>
      <c r="M106">
        <v>0.61399999999999999</v>
      </c>
      <c r="N106">
        <v>1.2999999999999999E-2</v>
      </c>
      <c r="O106">
        <v>46.655000000000001</v>
      </c>
      <c r="P106">
        <v>0</v>
      </c>
      <c r="R106">
        <v>0.95699999999999996</v>
      </c>
      <c r="S106">
        <v>4.0000000000000001E-3</v>
      </c>
      <c r="T106">
        <v>245.511</v>
      </c>
      <c r="U106">
        <v>0</v>
      </c>
    </row>
    <row r="107" spans="2:31" ht="15.6" x14ac:dyDescent="0.3">
      <c r="D107" s="65" t="s">
        <v>58</v>
      </c>
      <c r="G107">
        <v>2</v>
      </c>
      <c r="H107">
        <v>7.3999999999999996E-2</v>
      </c>
      <c r="I107">
        <v>1.4E-2</v>
      </c>
      <c r="J107">
        <v>5.4260000000000002</v>
      </c>
      <c r="K107">
        <v>0</v>
      </c>
      <c r="M107">
        <v>0.38600000000000001</v>
      </c>
      <c r="N107">
        <v>1.2999999999999999E-2</v>
      </c>
      <c r="O107">
        <v>29.353000000000002</v>
      </c>
      <c r="P107">
        <v>0</v>
      </c>
      <c r="R107">
        <v>4.2999999999999997E-2</v>
      </c>
      <c r="S107">
        <v>4.0000000000000001E-3</v>
      </c>
      <c r="T107">
        <v>10.929</v>
      </c>
      <c r="U107">
        <v>0</v>
      </c>
    </row>
    <row r="108" spans="2:31" ht="15.6" x14ac:dyDescent="0.3">
      <c r="B108" s="62"/>
      <c r="C108" s="62"/>
      <c r="D108" s="62" t="s">
        <v>40</v>
      </c>
    </row>
    <row r="109" spans="2:31" ht="15.6" x14ac:dyDescent="0.3">
      <c r="D109" s="63" t="s">
        <v>39</v>
      </c>
      <c r="G109">
        <v>1</v>
      </c>
      <c r="H109">
        <v>0.57699999999999996</v>
      </c>
      <c r="I109">
        <v>0.11899999999999999</v>
      </c>
      <c r="J109">
        <v>4.8490000000000002</v>
      </c>
      <c r="K109">
        <v>0</v>
      </c>
      <c r="M109">
        <v>0.80300000000000005</v>
      </c>
      <c r="N109">
        <v>1.0999999999999999E-2</v>
      </c>
      <c r="O109">
        <v>75.748000000000005</v>
      </c>
      <c r="P109">
        <v>0</v>
      </c>
      <c r="R109">
        <v>0.97499999999999998</v>
      </c>
      <c r="S109">
        <v>3.0000000000000001E-3</v>
      </c>
      <c r="T109">
        <v>317.75</v>
      </c>
      <c r="U109">
        <v>0</v>
      </c>
    </row>
    <row r="110" spans="2:31" ht="15.6" x14ac:dyDescent="0.3">
      <c r="D110" s="65" t="s">
        <v>59</v>
      </c>
      <c r="G110">
        <v>2</v>
      </c>
      <c r="H110">
        <v>0.42299999999999999</v>
      </c>
      <c r="I110">
        <v>0.11899999999999999</v>
      </c>
      <c r="J110">
        <v>3.5569999999999999</v>
      </c>
      <c r="K110">
        <v>0</v>
      </c>
      <c r="M110">
        <v>0.19700000000000001</v>
      </c>
      <c r="N110">
        <v>1.0999999999999999E-2</v>
      </c>
      <c r="O110">
        <v>18.626000000000001</v>
      </c>
      <c r="P110">
        <v>0</v>
      </c>
      <c r="R110">
        <v>2.5000000000000001E-2</v>
      </c>
      <c r="S110">
        <v>3.0000000000000001E-3</v>
      </c>
      <c r="T110">
        <v>8.1319999999999997</v>
      </c>
      <c r="U110">
        <v>0</v>
      </c>
    </row>
    <row r="111" spans="2:31" ht="15.6" x14ac:dyDescent="0.3">
      <c r="D111" s="62" t="s">
        <v>41</v>
      </c>
      <c r="AD111" t="s">
        <v>106</v>
      </c>
      <c r="AE111" t="s">
        <v>109</v>
      </c>
    </row>
    <row r="112" spans="2:31" ht="15.6" x14ac:dyDescent="0.3">
      <c r="B112" s="63"/>
      <c r="D112" t="s">
        <v>42</v>
      </c>
      <c r="G112">
        <v>1</v>
      </c>
      <c r="H112">
        <v>0</v>
      </c>
      <c r="I112">
        <v>0</v>
      </c>
      <c r="J112">
        <v>0</v>
      </c>
      <c r="K112">
        <v>1</v>
      </c>
      <c r="M112">
        <v>0.627</v>
      </c>
      <c r="N112">
        <v>1.2999999999999999E-2</v>
      </c>
      <c r="O112">
        <v>49.237000000000002</v>
      </c>
      <c r="P112">
        <v>0</v>
      </c>
      <c r="R112">
        <v>0.92100000000000004</v>
      </c>
      <c r="S112">
        <v>0.1</v>
      </c>
      <c r="T112">
        <v>9.1809999999999992</v>
      </c>
      <c r="U112">
        <v>0</v>
      </c>
      <c r="AD112" t="s">
        <v>107</v>
      </c>
      <c r="AE112" t="s">
        <v>105</v>
      </c>
    </row>
    <row r="113" spans="2:31" ht="15.6" x14ac:dyDescent="0.3">
      <c r="B113" s="63"/>
      <c r="D113" t="s">
        <v>60</v>
      </c>
      <c r="G113">
        <v>2</v>
      </c>
      <c r="H113">
        <v>1</v>
      </c>
      <c r="I113">
        <v>0</v>
      </c>
      <c r="J113">
        <v>0</v>
      </c>
      <c r="K113">
        <v>1</v>
      </c>
      <c r="M113">
        <v>0.373</v>
      </c>
      <c r="N113">
        <v>1.2999999999999999E-2</v>
      </c>
      <c r="O113">
        <v>29.294</v>
      </c>
      <c r="P113">
        <v>0</v>
      </c>
      <c r="R113">
        <v>7.9000000000000001E-2</v>
      </c>
      <c r="S113">
        <v>0.1</v>
      </c>
      <c r="T113">
        <v>0.78500000000000003</v>
      </c>
      <c r="U113">
        <v>0.432</v>
      </c>
      <c r="AD113" t="s">
        <v>108</v>
      </c>
      <c r="AE113" t="s">
        <v>100</v>
      </c>
    </row>
    <row r="114" spans="2:31" ht="15.6" x14ac:dyDescent="0.3">
      <c r="D114" s="62" t="s">
        <v>43</v>
      </c>
    </row>
    <row r="115" spans="2:31" ht="15.6" x14ac:dyDescent="0.3">
      <c r="B115" s="63"/>
      <c r="D115" t="s">
        <v>44</v>
      </c>
      <c r="G115">
        <v>1</v>
      </c>
      <c r="H115">
        <v>0.85799999999999998</v>
      </c>
      <c r="I115">
        <v>1.2E-2</v>
      </c>
      <c r="J115">
        <v>74.066999999999993</v>
      </c>
      <c r="K115">
        <v>0</v>
      </c>
      <c r="M115">
        <v>0.58899999999999997</v>
      </c>
      <c r="N115">
        <v>1.2999999999999999E-2</v>
      </c>
      <c r="O115">
        <v>45.405999999999999</v>
      </c>
      <c r="P115">
        <v>0</v>
      </c>
      <c r="R115">
        <v>0.84599999999999997</v>
      </c>
      <c r="S115">
        <v>7.0000000000000001E-3</v>
      </c>
      <c r="T115">
        <v>122.374</v>
      </c>
      <c r="U115">
        <v>0</v>
      </c>
    </row>
    <row r="116" spans="2:31" ht="15.6" x14ac:dyDescent="0.3">
      <c r="B116" s="63"/>
      <c r="D116" t="s">
        <v>61</v>
      </c>
      <c r="G116">
        <v>2</v>
      </c>
      <c r="H116">
        <v>0.14199999999999999</v>
      </c>
      <c r="I116">
        <v>1.2E-2</v>
      </c>
      <c r="J116">
        <v>12.273</v>
      </c>
      <c r="K116">
        <v>0</v>
      </c>
      <c r="M116">
        <v>0.41099999999999998</v>
      </c>
      <c r="N116">
        <v>1.2999999999999999E-2</v>
      </c>
      <c r="O116">
        <v>31.622</v>
      </c>
      <c r="P116">
        <v>0</v>
      </c>
      <c r="R116">
        <v>0.154</v>
      </c>
      <c r="S116">
        <v>7.0000000000000001E-3</v>
      </c>
      <c r="T116">
        <v>22.190999999999999</v>
      </c>
      <c r="U116">
        <v>0</v>
      </c>
    </row>
    <row r="117" spans="2:31" ht="15.6" x14ac:dyDescent="0.3">
      <c r="B117" s="62"/>
      <c r="D117" s="62" t="s">
        <v>45</v>
      </c>
    </row>
    <row r="118" spans="2:31" ht="15.6" x14ac:dyDescent="0.3">
      <c r="B118" s="63"/>
      <c r="D118" t="s">
        <v>46</v>
      </c>
      <c r="G118">
        <v>1</v>
      </c>
      <c r="H118">
        <v>0.13400000000000001</v>
      </c>
      <c r="I118">
        <v>1.7999999999999999E-2</v>
      </c>
      <c r="J118">
        <v>7.4180000000000001</v>
      </c>
      <c r="K118">
        <v>0</v>
      </c>
      <c r="M118">
        <v>1</v>
      </c>
      <c r="N118">
        <v>0</v>
      </c>
      <c r="O118">
        <v>0</v>
      </c>
      <c r="P118">
        <v>1</v>
      </c>
      <c r="R118">
        <v>0.1</v>
      </c>
      <c r="S118">
        <v>6.0000000000000001E-3</v>
      </c>
      <c r="T118">
        <v>16.753</v>
      </c>
      <c r="U118">
        <v>0</v>
      </c>
    </row>
    <row r="119" spans="2:31" ht="15.6" x14ac:dyDescent="0.3">
      <c r="B119" s="63"/>
      <c r="D119" t="s">
        <v>63</v>
      </c>
      <c r="G119">
        <v>2</v>
      </c>
      <c r="H119">
        <v>0.86599999999999999</v>
      </c>
      <c r="I119">
        <v>1.7999999999999999E-2</v>
      </c>
      <c r="J119">
        <v>47.918999999999997</v>
      </c>
      <c r="K119">
        <v>0</v>
      </c>
      <c r="M119">
        <v>0</v>
      </c>
      <c r="N119">
        <v>0</v>
      </c>
      <c r="O119">
        <v>0</v>
      </c>
      <c r="P119">
        <v>1</v>
      </c>
      <c r="R119">
        <v>0.9</v>
      </c>
      <c r="S119">
        <v>6.0000000000000001E-3</v>
      </c>
      <c r="T119">
        <v>150.727</v>
      </c>
      <c r="U119">
        <v>0</v>
      </c>
    </row>
    <row r="120" spans="2:31" ht="15.6" x14ac:dyDescent="0.3">
      <c r="B120" s="63"/>
      <c r="D120" s="62" t="s">
        <v>45</v>
      </c>
    </row>
    <row r="121" spans="2:31" x14ac:dyDescent="0.3">
      <c r="B121" s="66"/>
      <c r="D121" t="s">
        <v>47</v>
      </c>
      <c r="G121">
        <v>1</v>
      </c>
      <c r="H121">
        <v>1</v>
      </c>
      <c r="I121">
        <v>0</v>
      </c>
      <c r="J121">
        <v>0</v>
      </c>
      <c r="K121">
        <v>1</v>
      </c>
      <c r="M121">
        <v>0</v>
      </c>
      <c r="N121">
        <v>0</v>
      </c>
      <c r="O121">
        <v>0</v>
      </c>
      <c r="P121">
        <v>1</v>
      </c>
      <c r="R121">
        <v>1</v>
      </c>
      <c r="S121">
        <v>0</v>
      </c>
      <c r="T121">
        <v>0</v>
      </c>
      <c r="U121">
        <v>1</v>
      </c>
    </row>
    <row r="122" spans="2:31" x14ac:dyDescent="0.3">
      <c r="D122" t="s">
        <v>62</v>
      </c>
      <c r="G122">
        <v>2</v>
      </c>
      <c r="H122">
        <v>0</v>
      </c>
      <c r="I122">
        <v>0</v>
      </c>
      <c r="J122">
        <v>0</v>
      </c>
      <c r="K122">
        <v>1</v>
      </c>
      <c r="M122">
        <v>1</v>
      </c>
      <c r="N122">
        <v>0</v>
      </c>
      <c r="O122">
        <v>0</v>
      </c>
      <c r="P122">
        <v>1</v>
      </c>
      <c r="R122">
        <v>0</v>
      </c>
      <c r="S122">
        <v>0</v>
      </c>
      <c r="T122">
        <v>0</v>
      </c>
      <c r="U122">
        <v>1</v>
      </c>
    </row>
    <row r="123" spans="2:31" x14ac:dyDescent="0.3">
      <c r="D123" s="66" t="s">
        <v>36</v>
      </c>
    </row>
    <row r="124" spans="2:31" x14ac:dyDescent="0.3">
      <c r="B124" s="66"/>
      <c r="D124" t="s">
        <v>37</v>
      </c>
      <c r="G124">
        <v>1</v>
      </c>
      <c r="H124">
        <v>0.97099999999999997</v>
      </c>
      <c r="I124">
        <v>5.0000000000000001E-3</v>
      </c>
      <c r="J124">
        <v>195.33199999999999</v>
      </c>
      <c r="K124">
        <v>0</v>
      </c>
      <c r="M124">
        <v>0.96499999999999997</v>
      </c>
      <c r="N124">
        <v>5.0000000000000001E-3</v>
      </c>
      <c r="O124">
        <v>204.39699999999999</v>
      </c>
      <c r="P124">
        <v>0</v>
      </c>
      <c r="R124">
        <v>0.98499999999999999</v>
      </c>
      <c r="S124">
        <v>3.0000000000000001E-3</v>
      </c>
      <c r="T124">
        <v>370.47699999999998</v>
      </c>
      <c r="U124">
        <v>0</v>
      </c>
      <c r="AA124" s="53"/>
    </row>
    <row r="125" spans="2:31" x14ac:dyDescent="0.3">
      <c r="D125" t="s">
        <v>38</v>
      </c>
      <c r="G125">
        <v>2</v>
      </c>
      <c r="H125">
        <v>2.9000000000000001E-2</v>
      </c>
      <c r="I125">
        <v>5.0000000000000001E-3</v>
      </c>
      <c r="J125">
        <v>5.7830000000000004</v>
      </c>
      <c r="K125">
        <v>0</v>
      </c>
      <c r="M125">
        <v>3.5000000000000003E-2</v>
      </c>
      <c r="N125">
        <v>5.0000000000000001E-3</v>
      </c>
      <c r="O125">
        <v>7.3840000000000003</v>
      </c>
      <c r="P125">
        <v>0</v>
      </c>
      <c r="R125">
        <v>1.4999999999999999E-2</v>
      </c>
      <c r="S125">
        <v>3.0000000000000001E-3</v>
      </c>
      <c r="T125">
        <v>5.6790000000000003</v>
      </c>
      <c r="U125">
        <v>0</v>
      </c>
    </row>
    <row r="126" spans="2:31" x14ac:dyDescent="0.3">
      <c r="D126" s="66" t="s">
        <v>48</v>
      </c>
    </row>
    <row r="127" spans="2:31" x14ac:dyDescent="0.3">
      <c r="D127" t="s">
        <v>64</v>
      </c>
      <c r="G127">
        <v>1</v>
      </c>
      <c r="H127">
        <v>0.96099999999999997</v>
      </c>
      <c r="I127">
        <v>7.0000000000000001E-3</v>
      </c>
      <c r="J127">
        <v>143.36199999999999</v>
      </c>
      <c r="K127">
        <v>0</v>
      </c>
      <c r="M127">
        <v>0.85699999999999998</v>
      </c>
      <c r="N127">
        <v>0.01</v>
      </c>
      <c r="O127">
        <v>87.546999999999997</v>
      </c>
      <c r="P127">
        <v>0</v>
      </c>
      <c r="R127">
        <v>0.95799999999999996</v>
      </c>
      <c r="S127">
        <v>4.0000000000000001E-3</v>
      </c>
      <c r="T127">
        <v>234.45099999999999</v>
      </c>
      <c r="U127">
        <v>0</v>
      </c>
      <c r="AA127" s="53"/>
    </row>
    <row r="128" spans="2:31" x14ac:dyDescent="0.3">
      <c r="D128" t="s">
        <v>65</v>
      </c>
      <c r="G128">
        <v>2</v>
      </c>
      <c r="H128">
        <v>3.9E-2</v>
      </c>
      <c r="I128">
        <v>7.0000000000000001E-3</v>
      </c>
      <c r="J128">
        <v>5.8630000000000004</v>
      </c>
      <c r="K128">
        <v>0</v>
      </c>
      <c r="M128">
        <v>0.14299999999999999</v>
      </c>
      <c r="N128">
        <v>0.01</v>
      </c>
      <c r="O128">
        <v>14.657999999999999</v>
      </c>
      <c r="P128">
        <v>0</v>
      </c>
      <c r="R128">
        <v>4.2000000000000003E-2</v>
      </c>
      <c r="S128">
        <v>4.0000000000000001E-3</v>
      </c>
      <c r="T128">
        <v>10.273</v>
      </c>
      <c r="U128">
        <v>0</v>
      </c>
    </row>
    <row r="137" spans="3:21" x14ac:dyDescent="0.3">
      <c r="E137" t="s">
        <v>146</v>
      </c>
      <c r="H137" t="s">
        <v>157</v>
      </c>
    </row>
    <row r="138" spans="3:21" x14ac:dyDescent="0.3">
      <c r="C138">
        <v>0.82399999999999995</v>
      </c>
      <c r="D138" t="s">
        <v>67</v>
      </c>
      <c r="E138">
        <v>1089.87339</v>
      </c>
      <c r="F138">
        <v>0.19574</v>
      </c>
      <c r="H138">
        <v>1323</v>
      </c>
      <c r="I138">
        <v>0.23760999999999999</v>
      </c>
    </row>
    <row r="139" spans="3:21" x14ac:dyDescent="0.3">
      <c r="C139">
        <v>1</v>
      </c>
      <c r="D139" t="s">
        <v>73</v>
      </c>
      <c r="E139">
        <v>1520.0001099999999</v>
      </c>
      <c r="F139">
        <v>0.27299000000000001</v>
      </c>
      <c r="H139">
        <v>1520</v>
      </c>
      <c r="I139">
        <v>0.27299000000000001</v>
      </c>
      <c r="U139" t="s">
        <v>158</v>
      </c>
    </row>
    <row r="140" spans="3:21" x14ac:dyDescent="0.3">
      <c r="C140">
        <v>1</v>
      </c>
      <c r="D140" t="s">
        <v>74</v>
      </c>
      <c r="E140">
        <v>2958.1264999999999</v>
      </c>
      <c r="F140">
        <v>0.53127000000000002</v>
      </c>
      <c r="H140">
        <v>2725</v>
      </c>
      <c r="I140">
        <v>0.4894</v>
      </c>
    </row>
    <row r="142" spans="3:21" x14ac:dyDescent="0.3">
      <c r="C142" t="s">
        <v>173</v>
      </c>
      <c r="D142" t="s">
        <v>174</v>
      </c>
      <c r="E142" t="s">
        <v>175</v>
      </c>
      <c r="F142" t="s">
        <v>176</v>
      </c>
      <c r="G142" t="s">
        <v>177</v>
      </c>
      <c r="H142" t="s">
        <v>178</v>
      </c>
      <c r="L142" t="s">
        <v>179</v>
      </c>
    </row>
    <row r="143" spans="3:21" x14ac:dyDescent="0.3">
      <c r="C143">
        <v>1</v>
      </c>
      <c r="D143">
        <f>ROUND(F138,3)</f>
        <v>0.19600000000000001</v>
      </c>
      <c r="E143">
        <f>ROUND(I138,3)</f>
        <v>0.23799999999999999</v>
      </c>
      <c r="F143">
        <f>ROUND(C138,3)</f>
        <v>0.82399999999999995</v>
      </c>
      <c r="G143">
        <f>ROUND((F143/(1-F143))/(D143/(1-D143)),3)</f>
        <v>19.204999999999998</v>
      </c>
      <c r="H143">
        <f>ROUND(H138/$L$143,3)</f>
        <v>45.621000000000002</v>
      </c>
      <c r="L143">
        <f>C6</f>
        <v>29</v>
      </c>
    </row>
    <row r="144" spans="3:21" x14ac:dyDescent="0.3">
      <c r="C144">
        <v>2</v>
      </c>
      <c r="D144">
        <f t="shared" ref="D144:D145" si="1">ROUND(F139,3)</f>
        <v>0.27300000000000002</v>
      </c>
      <c r="E144">
        <f t="shared" ref="E144:E145" si="2">ROUND(I139,3)</f>
        <v>0.27300000000000002</v>
      </c>
      <c r="F144">
        <f t="shared" ref="F144:F145" si="3">ROUND(C139,3)</f>
        <v>1</v>
      </c>
      <c r="G144" t="e">
        <f>ROUND((F144/(1-F144))/(D144/(1-D144)),3)</f>
        <v>#DIV/0!</v>
      </c>
      <c r="H144">
        <f t="shared" ref="H144:H145" si="4">ROUND(H139/$L$143,3)</f>
        <v>52.414000000000001</v>
      </c>
    </row>
    <row r="145" spans="2:9" x14ac:dyDescent="0.3">
      <c r="C145">
        <v>3</v>
      </c>
      <c r="D145">
        <f t="shared" si="1"/>
        <v>0.53100000000000003</v>
      </c>
      <c r="E145">
        <f t="shared" si="2"/>
        <v>0.48899999999999999</v>
      </c>
      <c r="F145">
        <f t="shared" si="3"/>
        <v>1</v>
      </c>
      <c r="G145" t="e">
        <f>ROUND((F145/(1-F145))/(D145/(1-D145)),3)</f>
        <v>#DIV/0!</v>
      </c>
      <c r="H145">
        <f t="shared" si="4"/>
        <v>93.965999999999994</v>
      </c>
    </row>
    <row r="147" spans="2:9" x14ac:dyDescent="0.3">
      <c r="C147" t="str">
        <f>C143&amp;"&amp;"&amp;D138&amp;"&amp;"&amp;D143&amp;"&amp;"&amp;E143&amp;"&amp;"&amp;F143&amp;"&amp;"&amp;G143&amp;"&amp;"&amp;H143</f>
        <v>1&amp;ExtreMiss&amp;0,196&amp;0,238&amp;0,824&amp;19,205&amp;45,621</v>
      </c>
    </row>
    <row r="148" spans="2:9" x14ac:dyDescent="0.3">
      <c r="C148" t="str">
        <f>C144&amp;"&amp;"&amp;D139&amp;"&amp;"&amp;D144&amp;"&amp;"&amp;E144&amp;"&amp;"&amp;F144&amp;"&amp;"&amp;"$&gt;$"&amp;"&amp;"&amp;H144</f>
        <v>2&amp;Indifferent&amp;0,273&amp;0,273&amp;1&amp;$&gt;$&amp;52,414</v>
      </c>
    </row>
    <row r="149" spans="2:9" x14ac:dyDescent="0.3">
      <c r="C149" t="str">
        <f>C145&amp;"&amp;"&amp;D140&amp;"&amp;"&amp;D145&amp;"&amp;"&amp;E145&amp;"&amp;"&amp;F145&amp;"&amp;"&amp;"$&gt;$"&amp;"&amp;"&amp;H145</f>
        <v>3&amp;Optimize&amp;0,531&amp;0,489&amp;1&amp;$&gt;$&amp;93,966</v>
      </c>
    </row>
    <row r="151" spans="2:9" x14ac:dyDescent="0.3">
      <c r="C151" t="s">
        <v>185</v>
      </c>
    </row>
    <row r="152" spans="2:9" x14ac:dyDescent="0.3">
      <c r="C152" t="s">
        <v>186</v>
      </c>
    </row>
    <row r="153" spans="2:9" x14ac:dyDescent="0.3">
      <c r="C153" t="s">
        <v>184</v>
      </c>
    </row>
    <row r="156" spans="2:9" x14ac:dyDescent="0.3">
      <c r="B156" t="s">
        <v>181</v>
      </c>
      <c r="E156" t="s">
        <v>146</v>
      </c>
      <c r="H156" t="s">
        <v>147</v>
      </c>
    </row>
    <row r="157" spans="2:9" x14ac:dyDescent="0.3">
      <c r="C157">
        <v>1</v>
      </c>
      <c r="D157" t="s">
        <v>152</v>
      </c>
      <c r="E157">
        <v>953.00025000000005</v>
      </c>
      <c r="F157">
        <v>0.17116000000000001</v>
      </c>
      <c r="H157">
        <v>953</v>
      </c>
      <c r="I157">
        <v>0.17116000000000001</v>
      </c>
    </row>
    <row r="158" spans="2:9" x14ac:dyDescent="0.3">
      <c r="C158">
        <v>1</v>
      </c>
      <c r="D158" t="s">
        <v>141</v>
      </c>
      <c r="E158">
        <v>2958.12592</v>
      </c>
      <c r="F158">
        <v>0.53127000000000002</v>
      </c>
      <c r="H158">
        <v>2725</v>
      </c>
      <c r="I158">
        <v>0.4894</v>
      </c>
    </row>
    <row r="159" spans="2:9" x14ac:dyDescent="0.3">
      <c r="C159">
        <v>0.82399999999999995</v>
      </c>
      <c r="D159" t="s">
        <v>153</v>
      </c>
      <c r="E159">
        <v>1089.87393</v>
      </c>
      <c r="F159">
        <v>0.19574</v>
      </c>
      <c r="H159">
        <v>1323</v>
      </c>
      <c r="I159">
        <v>0.23760999999999999</v>
      </c>
    </row>
    <row r="160" spans="2:9" x14ac:dyDescent="0.3">
      <c r="C160">
        <v>1</v>
      </c>
      <c r="D160" t="s">
        <v>154</v>
      </c>
      <c r="E160">
        <v>566.99991</v>
      </c>
      <c r="F160">
        <v>0.10183</v>
      </c>
      <c r="H160">
        <v>567</v>
      </c>
      <c r="I160">
        <v>0.10183</v>
      </c>
    </row>
    <row r="162" spans="3:12" x14ac:dyDescent="0.3">
      <c r="C162" t="s">
        <v>173</v>
      </c>
      <c r="D162" t="s">
        <v>174</v>
      </c>
      <c r="E162" t="s">
        <v>175</v>
      </c>
      <c r="F162" t="s">
        <v>176</v>
      </c>
      <c r="G162" t="s">
        <v>177</v>
      </c>
      <c r="H162" t="s">
        <v>178</v>
      </c>
      <c r="L162" t="s">
        <v>179</v>
      </c>
    </row>
    <row r="163" spans="3:12" x14ac:dyDescent="0.3">
      <c r="C163">
        <v>1</v>
      </c>
      <c r="D163">
        <f>ROUND(F157,3)</f>
        <v>0.17100000000000001</v>
      </c>
      <c r="E163">
        <f>ROUND(I157,3)</f>
        <v>0.17100000000000001</v>
      </c>
      <c r="F163">
        <f>ROUND(C157,3)</f>
        <v>1</v>
      </c>
      <c r="G163" t="e">
        <f>ROUND((F163/(1-F163))/(D163/(1-D163)),3)</f>
        <v>#DIV/0!</v>
      </c>
      <c r="H163">
        <f>ROUND(H157/$L$163,3)</f>
        <v>24.436</v>
      </c>
      <c r="L163">
        <f>C7</f>
        <v>39</v>
      </c>
    </row>
    <row r="164" spans="3:12" x14ac:dyDescent="0.3">
      <c r="C164">
        <v>2</v>
      </c>
      <c r="D164">
        <f t="shared" ref="D164:D166" si="5">ROUND(F158,3)</f>
        <v>0.53100000000000003</v>
      </c>
      <c r="E164">
        <f t="shared" ref="E164:E166" si="6">ROUND(I158,3)</f>
        <v>0.48899999999999999</v>
      </c>
      <c r="F164">
        <f t="shared" ref="F164:F166" si="7">ROUND(C158,3)</f>
        <v>1</v>
      </c>
      <c r="G164" t="e">
        <f>ROUND((F164/(1-F164))/(D164/(1-D164)),3)</f>
        <v>#DIV/0!</v>
      </c>
      <c r="H164">
        <f t="shared" ref="H164:H166" si="8">ROUND(H158/$L$163,3)</f>
        <v>69.872</v>
      </c>
    </row>
    <row r="165" spans="3:12" x14ac:dyDescent="0.3">
      <c r="C165">
        <v>3</v>
      </c>
      <c r="D165">
        <f t="shared" si="5"/>
        <v>0.19600000000000001</v>
      </c>
      <c r="E165">
        <f t="shared" si="6"/>
        <v>0.23799999999999999</v>
      </c>
      <c r="F165">
        <f t="shared" si="7"/>
        <v>0.82399999999999995</v>
      </c>
      <c r="G165">
        <f>ROUND((F165/(1-F165))/(D165/(1-D165)),3)</f>
        <v>19.204999999999998</v>
      </c>
      <c r="H165">
        <f t="shared" si="8"/>
        <v>33.923000000000002</v>
      </c>
    </row>
    <row r="166" spans="3:12" x14ac:dyDescent="0.3">
      <c r="C166">
        <v>4</v>
      </c>
      <c r="D166">
        <f t="shared" si="5"/>
        <v>0.10199999999999999</v>
      </c>
      <c r="E166">
        <f t="shared" si="6"/>
        <v>0.10199999999999999</v>
      </c>
      <c r="F166">
        <f t="shared" si="7"/>
        <v>1</v>
      </c>
      <c r="G166" t="e">
        <f>ROUND((F166/(1-F166))/(D166/(1-D166)),3)</f>
        <v>#DIV/0!</v>
      </c>
      <c r="H166">
        <f t="shared" si="8"/>
        <v>14.538</v>
      </c>
    </row>
    <row r="167" spans="3:12" x14ac:dyDescent="0.3">
      <c r="C167" t="str">
        <f>C163&amp;"&amp;"&amp;D157&amp;"&amp;"&amp;D163&amp;"&amp;"&amp;E163&amp;"&amp;"&amp;F163&amp;"&amp;"&amp;"$&gt;$"&amp;"&amp;"&amp;H163</f>
        <v>1&amp;Indiffs&amp;0,171&amp;0,171&amp;1&amp;$&gt;$&amp;24,436</v>
      </c>
    </row>
    <row r="168" spans="3:12" x14ac:dyDescent="0.3">
      <c r="C168" t="str">
        <f>C164&amp;"&amp;"&amp;D158&amp;"&amp;"&amp;D164&amp;"&amp;"&amp;E164&amp;"&amp;"&amp;F164&amp;"&amp;"&amp;"$&gt;$"&amp;"&amp;"&amp;H164</f>
        <v>2&amp;Opti&amp;0,531&amp;0,489&amp;1&amp;$&gt;$&amp;69,872</v>
      </c>
    </row>
    <row r="169" spans="3:12" x14ac:dyDescent="0.3">
      <c r="C169" t="str">
        <f>C165&amp;"&amp;"&amp;D159&amp;"&amp;"&amp;D165&amp;"&amp;"&amp;E165&amp;"&amp;"&amp;F165&amp;"&amp;"&amp;G165&amp;"&amp;"&amp;H165</f>
        <v>3&amp;ExtreMis&amp;0,196&amp;0,238&amp;0,824&amp;19,205&amp;33,923</v>
      </c>
    </row>
    <row r="170" spans="3:12" x14ac:dyDescent="0.3">
      <c r="C170" t="str">
        <f>C166&amp;"&amp;"&amp;D160&amp;"&amp;"&amp;D166&amp;"&amp;"&amp;E166&amp;"&amp;"&amp;F166&amp;"&amp;"&amp;"$&gt;$"&amp;"&amp;"&amp;H166</f>
        <v>4&amp;Complex&amp;0,102&amp;0,102&amp;1&amp;$&gt;$&amp;14,538</v>
      </c>
    </row>
    <row r="173" spans="3:12" x14ac:dyDescent="0.3">
      <c r="C173" t="s">
        <v>189</v>
      </c>
    </row>
    <row r="174" spans="3:12" x14ac:dyDescent="0.3">
      <c r="C174" t="s">
        <v>188</v>
      </c>
    </row>
    <row r="175" spans="3:12" x14ac:dyDescent="0.3">
      <c r="C175" t="s">
        <v>200</v>
      </c>
    </row>
    <row r="176" spans="3:12" x14ac:dyDescent="0.3">
      <c r="C176" t="s">
        <v>187</v>
      </c>
    </row>
  </sheetData>
  <autoFilter ref="A3:W9" xr:uid="{00000000-0009-0000-0000-000006000000}"/>
  <conditionalFormatting sqref="B28 B34:C34 B38:B39 B41:B52">
    <cfRule type="containsBlanks" priority="44" stopIfTrue="1">
      <formula>LEN(TRIM(B28))=0</formula>
    </cfRule>
  </conditionalFormatting>
  <conditionalFormatting sqref="B102 B108:C108 B112:B113 B115:B126">
    <cfRule type="containsBlanks" priority="10" stopIfTrue="1">
      <formula>LEN(TRIM(B102))=0</formula>
    </cfRule>
  </conditionalFormatting>
  <conditionalFormatting sqref="C18 D19 E20 F21">
    <cfRule type="cellIs" dxfId="54" priority="45" operator="lessThan">
      <formula>0.8</formula>
    </cfRule>
    <cfRule type="cellIs" dxfId="53" priority="47" operator="between">
      <formula>0.8</formula>
      <formula>0.85</formula>
    </cfRule>
    <cfRule type="cellIs" dxfId="52" priority="48" operator="greaterThanOrEqual">
      <formula>0.85</formula>
    </cfRule>
  </conditionalFormatting>
  <conditionalFormatting sqref="C18 D19 F21">
    <cfRule type="cellIs" dxfId="51" priority="46" operator="equal">
      <formula>1</formula>
    </cfRule>
  </conditionalFormatting>
  <conditionalFormatting sqref="C92 D93 E94">
    <cfRule type="cellIs" dxfId="50" priority="11" operator="lessThan">
      <formula>0.8</formula>
    </cfRule>
    <cfRule type="cellIs" dxfId="49" priority="13" operator="between">
      <formula>0.8</formula>
      <formula>0.85</formula>
    </cfRule>
    <cfRule type="cellIs" dxfId="48" priority="14" operator="greaterThanOrEqual">
      <formula>0.85</formula>
    </cfRule>
  </conditionalFormatting>
  <conditionalFormatting sqref="C92 D93">
    <cfRule type="cellIs" dxfId="47" priority="12" operator="equal">
      <formula>1</formula>
    </cfRule>
  </conditionalFormatting>
  <conditionalFormatting sqref="D28:D37">
    <cfRule type="containsBlanks" priority="18" stopIfTrue="1">
      <formula>LEN(TRIM(D28))=0</formula>
    </cfRule>
  </conditionalFormatting>
  <conditionalFormatting sqref="D40">
    <cfRule type="containsBlanks" priority="19" stopIfTrue="1">
      <formula>LEN(TRIM(D40))=0</formula>
    </cfRule>
  </conditionalFormatting>
  <conditionalFormatting sqref="D43">
    <cfRule type="containsBlanks" priority="17" stopIfTrue="1">
      <formula>LEN(TRIM(D43))=0</formula>
    </cfRule>
  </conditionalFormatting>
  <conditionalFormatting sqref="D46">
    <cfRule type="containsBlanks" priority="16" stopIfTrue="1">
      <formula>LEN(TRIM(D46))=0</formula>
    </cfRule>
  </conditionalFormatting>
  <conditionalFormatting sqref="D49:D53">
    <cfRule type="containsBlanks" priority="4" stopIfTrue="1">
      <formula>LEN(TRIM(D49))=0</formula>
    </cfRule>
  </conditionalFormatting>
  <conditionalFormatting sqref="D102:D111">
    <cfRule type="containsBlanks" priority="8" stopIfTrue="1">
      <formula>LEN(TRIM(D102))=0</formula>
    </cfRule>
  </conditionalFormatting>
  <conditionalFormatting sqref="D114">
    <cfRule type="containsBlanks" priority="9" stopIfTrue="1">
      <formula>LEN(TRIM(D114))=0</formula>
    </cfRule>
  </conditionalFormatting>
  <conditionalFormatting sqref="D117">
    <cfRule type="containsBlanks" priority="7" stopIfTrue="1">
      <formula>LEN(TRIM(D117))=0</formula>
    </cfRule>
  </conditionalFormatting>
  <conditionalFormatting sqref="D120">
    <cfRule type="containsBlanks" priority="6" stopIfTrue="1">
      <formula>LEN(TRIM(D120))=0</formula>
    </cfRule>
  </conditionalFormatting>
  <conditionalFormatting sqref="D123:D127">
    <cfRule type="containsBlanks" priority="3" stopIfTrue="1">
      <formula>LEN(TRIM(D123))=0</formula>
    </cfRule>
  </conditionalFormatting>
  <conditionalFormatting sqref="H4:H9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J11">
    <cfRule type="duplicateValues" dxfId="46" priority="1"/>
  </conditionalFormatting>
  <conditionalFormatting sqref="I4:I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9">
    <cfRule type="cellIs" dxfId="45" priority="52" stopIfTrue="1" operator="between">
      <formula>0</formula>
      <formula>0.05</formula>
    </cfRule>
  </conditionalFormatting>
  <conditionalFormatting sqref="Q5:Q9">
    <cfRule type="cellIs" dxfId="44" priority="53" stopIfTrue="1" operator="between">
      <formula>0</formula>
      <formula>0.05</formula>
    </cfRule>
  </conditionalFormatting>
  <conditionalFormatting sqref="R6:R9">
    <cfRule type="cellIs" dxfId="43" priority="54" stopIfTrue="1" operator="between">
      <formula>0</formula>
      <formula>0.05</formula>
    </cfRule>
  </conditionalFormatting>
  <conditionalFormatting sqref="S7:S9">
    <cfRule type="cellIs" dxfId="42" priority="55" stopIfTrue="1" operator="between">
      <formula>0</formula>
      <formula>0.05</formula>
    </cfRule>
  </conditionalFormatting>
  <conditionalFormatting sqref="T8:T9">
    <cfRule type="cellIs" dxfId="41" priority="56" stopIfTrue="1" operator="between">
      <formula>0</formula>
      <formula>0.05</formula>
    </cfRule>
  </conditionalFormatting>
  <conditionalFormatting sqref="U9">
    <cfRule type="cellIs" dxfId="40" priority="57" stopIfTrue="1" operator="between">
      <formula>0</formula>
      <formula>0.05</formula>
    </cfRule>
  </conditionalFormatting>
  <conditionalFormatting sqref="X4:X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118"/>
  <sheetViews>
    <sheetView zoomScale="70" zoomScaleNormal="70" workbookViewId="0">
      <pane xSplit="1" ySplit="1" topLeftCell="B26" activePane="bottomRight" state="frozen"/>
      <selection activeCell="K19" sqref="K19"/>
      <selection pane="topRight" activeCell="K19" sqref="K19"/>
      <selection pane="bottomLeft" activeCell="K19" sqref="K19"/>
      <selection pane="bottomRight" activeCell="Z41" sqref="Z41"/>
    </sheetView>
  </sheetViews>
  <sheetFormatPr defaultColWidth="11.5546875" defaultRowHeight="14.4" x14ac:dyDescent="0.3"/>
  <sheetData>
    <row r="1" spans="1:25" ht="17.399999999999999" x14ac:dyDescent="0.35">
      <c r="A1" s="1" t="s">
        <v>171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26</v>
      </c>
      <c r="Y3" t="s">
        <v>27</v>
      </c>
    </row>
    <row r="4" spans="1:25" x14ac:dyDescent="0.3">
      <c r="A4">
        <v>1</v>
      </c>
      <c r="B4" s="2" t="s">
        <v>23</v>
      </c>
      <c r="C4">
        <v>7</v>
      </c>
      <c r="D4">
        <v>-9240.6759999999995</v>
      </c>
      <c r="E4">
        <v>1.1265000000000001</v>
      </c>
      <c r="F4" t="s">
        <v>23</v>
      </c>
      <c r="G4">
        <v>18495.351999999999</v>
      </c>
      <c r="H4" s="3">
        <v>18543.284</v>
      </c>
      <c r="I4" s="3">
        <v>18536.284</v>
      </c>
      <c r="J4" s="3">
        <v>18514.043000000001</v>
      </c>
      <c r="K4">
        <v>5206.8670000000002</v>
      </c>
      <c r="L4">
        <v>2695.681</v>
      </c>
      <c r="P4">
        <v>1</v>
      </c>
      <c r="V4" s="3">
        <v>2376.1219999999998</v>
      </c>
      <c r="W4" s="3">
        <v>0</v>
      </c>
      <c r="X4">
        <f>I4-$I$11</f>
        <v>2376.1219999999994</v>
      </c>
      <c r="Y4" cm="1">
        <f t="array" ref="Y4">ROUND(EXP(-0.5*X4)/SUM(EXP(-0.5*$X$4:$X$7)),3)</f>
        <v>0</v>
      </c>
    </row>
    <row r="5" spans="1:25" x14ac:dyDescent="0.3">
      <c r="A5">
        <v>2</v>
      </c>
      <c r="B5" s="2" t="s">
        <v>23</v>
      </c>
      <c r="C5">
        <v>15</v>
      </c>
      <c r="D5">
        <v>-8085.48</v>
      </c>
      <c r="E5">
        <v>1.0728</v>
      </c>
      <c r="F5" t="s">
        <v>23</v>
      </c>
      <c r="G5">
        <v>16200.960999999999</v>
      </c>
      <c r="H5" s="5">
        <v>16303.671</v>
      </c>
      <c r="I5" s="7">
        <v>16288.671</v>
      </c>
      <c r="J5" s="4">
        <v>16241.012000000001</v>
      </c>
      <c r="K5">
        <v>492.96300000000002</v>
      </c>
      <c r="L5">
        <v>430.93799999999999</v>
      </c>
      <c r="M5">
        <v>0</v>
      </c>
      <c r="N5">
        <v>0</v>
      </c>
      <c r="O5" s="2">
        <v>1</v>
      </c>
      <c r="P5">
        <v>0.23408000000000001</v>
      </c>
      <c r="Q5">
        <v>0.76592000000000005</v>
      </c>
      <c r="V5" s="7">
        <v>128.50899999999999</v>
      </c>
      <c r="W5" s="3">
        <v>0</v>
      </c>
      <c r="X5">
        <f t="shared" ref="X5:X7" si="0">I5-$I$11</f>
        <v>128.50900000000001</v>
      </c>
      <c r="Y5" cm="1">
        <f t="array" ref="Y5">ROUND(EXP(-0.5*X5)/SUM(EXP(-0.5*$X$4:$X$7)),3)</f>
        <v>0</v>
      </c>
    </row>
    <row r="6" spans="1:25" x14ac:dyDescent="0.3">
      <c r="A6" s="42">
        <v>3</v>
      </c>
      <c r="B6" s="43" t="s">
        <v>23</v>
      </c>
      <c r="C6" s="44">
        <v>23</v>
      </c>
      <c r="D6" s="44">
        <v>-7998.7929999999997</v>
      </c>
      <c r="E6" s="44">
        <v>1.0943000000000001</v>
      </c>
      <c r="F6" s="44" t="s">
        <v>23</v>
      </c>
      <c r="G6" s="44">
        <v>16043.585999999999</v>
      </c>
      <c r="H6" s="52">
        <v>16201.075000000001</v>
      </c>
      <c r="I6" s="52">
        <v>16178.075000000001</v>
      </c>
      <c r="J6" s="46">
        <v>16104.998</v>
      </c>
      <c r="K6" s="44">
        <v>282.06200000000001</v>
      </c>
      <c r="L6" s="44">
        <v>263.19200000000001</v>
      </c>
      <c r="M6" s="44">
        <v>0</v>
      </c>
      <c r="N6" s="44">
        <v>0</v>
      </c>
      <c r="O6" s="43">
        <v>0.88</v>
      </c>
      <c r="P6" s="44">
        <v>0.23408000000000001</v>
      </c>
      <c r="Q6" s="44">
        <v>0.15905</v>
      </c>
      <c r="R6" s="44">
        <v>0.60687000000000002</v>
      </c>
      <c r="S6" s="44"/>
      <c r="T6" s="44"/>
      <c r="U6" s="44"/>
      <c r="V6" s="52">
        <v>17.913000000000501</v>
      </c>
      <c r="W6" s="58">
        <v>0</v>
      </c>
      <c r="X6" s="44">
        <f t="shared" si="0"/>
        <v>17.913000000000466</v>
      </c>
      <c r="Y6" s="49" cm="1">
        <f t="array" ref="Y6">ROUND(EXP(-0.5*X6)/SUM(EXP(-0.5*$X$4:$X$7)),3)</f>
        <v>0</v>
      </c>
    </row>
    <row r="7" spans="1:25" x14ac:dyDescent="0.3">
      <c r="A7">
        <v>4</v>
      </c>
      <c r="B7" s="2" t="s">
        <v>23</v>
      </c>
      <c r="C7">
        <v>31</v>
      </c>
      <c r="D7">
        <v>-7958.49</v>
      </c>
      <c r="E7">
        <v>1.0590999999999999</v>
      </c>
      <c r="F7" t="s">
        <v>23</v>
      </c>
      <c r="G7">
        <v>15978.981</v>
      </c>
      <c r="H7" s="6">
        <v>16191.249</v>
      </c>
      <c r="I7" s="6">
        <v>16160.249</v>
      </c>
      <c r="J7" s="5">
        <v>16061.754000000001</v>
      </c>
      <c r="K7">
        <v>189.80699999999999</v>
      </c>
      <c r="L7">
        <v>182.643</v>
      </c>
      <c r="M7">
        <v>0</v>
      </c>
      <c r="N7">
        <v>0</v>
      </c>
      <c r="O7" s="3">
        <v>0.81699999999999995</v>
      </c>
      <c r="P7">
        <v>0.11737</v>
      </c>
      <c r="Q7">
        <v>0.23408000000000001</v>
      </c>
      <c r="R7">
        <v>0.49403000000000002</v>
      </c>
      <c r="S7">
        <v>0.15451999999999999</v>
      </c>
      <c r="V7" s="6">
        <v>8.6999999999534297E-2</v>
      </c>
      <c r="W7" s="57">
        <v>0.48599999999999999</v>
      </c>
      <c r="X7">
        <f t="shared" si="0"/>
        <v>8.6999999999534339E-2</v>
      </c>
      <c r="Y7" cm="1">
        <f t="array" ref="Y7">ROUND(EXP(-0.5*X7)/SUM(EXP(-0.5*$X$4:$X$7)),3)</f>
        <v>1</v>
      </c>
    </row>
    <row r="8" spans="1:25" x14ac:dyDescent="0.3">
      <c r="A8" s="25">
        <v>5</v>
      </c>
      <c r="B8" s="26" t="s">
        <v>23</v>
      </c>
      <c r="C8" s="25">
        <v>39</v>
      </c>
      <c r="D8" s="25">
        <v>-7927.0569999999998</v>
      </c>
      <c r="E8" s="25">
        <v>1.1277999999999999</v>
      </c>
      <c r="F8" s="25" t="s">
        <v>23</v>
      </c>
      <c r="G8" s="25">
        <v>15932.114</v>
      </c>
      <c r="H8" s="27">
        <v>16199.162</v>
      </c>
      <c r="I8" s="27">
        <v>16160.162</v>
      </c>
      <c r="J8" s="27">
        <v>16036.248</v>
      </c>
      <c r="K8" s="25">
        <v>133.161</v>
      </c>
      <c r="L8" s="25">
        <v>124.94799999999999</v>
      </c>
      <c r="M8" s="25">
        <v>3.27E-2</v>
      </c>
      <c r="N8" s="25">
        <v>3.4599999999999999E-2</v>
      </c>
      <c r="O8" s="28">
        <v>0.746</v>
      </c>
      <c r="P8" s="25">
        <v>0.12411999999999999</v>
      </c>
      <c r="Q8" s="25">
        <v>0.12472999999999999</v>
      </c>
      <c r="R8" s="25">
        <v>0.11776</v>
      </c>
      <c r="S8" s="25">
        <v>0.17287</v>
      </c>
      <c r="T8" s="25">
        <v>0.46051999999999998</v>
      </c>
      <c r="U8" s="25"/>
      <c r="V8" s="27">
        <v>0</v>
      </c>
      <c r="W8" s="41">
        <v>0.50700000000000001</v>
      </c>
    </row>
    <row r="9" spans="1:25" x14ac:dyDescent="0.3">
      <c r="A9" s="25">
        <v>6</v>
      </c>
      <c r="B9" s="26" t="s">
        <v>23</v>
      </c>
      <c r="C9" s="25">
        <v>47</v>
      </c>
      <c r="D9" s="25">
        <v>-7899.973</v>
      </c>
      <c r="E9" s="25">
        <v>1.0851999999999999</v>
      </c>
      <c r="F9" s="25" t="s">
        <v>23</v>
      </c>
      <c r="G9" s="25">
        <v>15893.946</v>
      </c>
      <c r="H9" s="29">
        <v>16215.772000000001</v>
      </c>
      <c r="I9" s="31">
        <v>16168.772000000001</v>
      </c>
      <c r="J9" s="27">
        <v>16019.44</v>
      </c>
      <c r="K9" s="25">
        <v>67.067999999999998</v>
      </c>
      <c r="L9" s="25">
        <v>68.957999999999998</v>
      </c>
      <c r="M9" s="25">
        <v>1.9300000000000001E-2</v>
      </c>
      <c r="N9" s="25">
        <v>2.0199999999999999E-2</v>
      </c>
      <c r="O9" s="28">
        <v>0.751</v>
      </c>
      <c r="P9" s="25">
        <v>7.8640000000000002E-2</v>
      </c>
      <c r="Q9" s="25">
        <v>0.16955999999999999</v>
      </c>
      <c r="R9" s="25">
        <v>0.44412000000000001</v>
      </c>
      <c r="S9" s="25">
        <v>6.5890000000000004E-2</v>
      </c>
      <c r="T9" s="25">
        <v>0.12828999999999999</v>
      </c>
      <c r="U9" s="25">
        <v>0.1135</v>
      </c>
      <c r="V9" s="31">
        <v>8.6100000000005803</v>
      </c>
      <c r="W9" s="30">
        <v>7.0000000000000001E-3</v>
      </c>
    </row>
    <row r="11" spans="1:25" x14ac:dyDescent="0.3">
      <c r="H11">
        <f>MIN(H4:H9)</f>
        <v>16191.249</v>
      </c>
      <c r="I11">
        <f>MIN(I4:I9)</f>
        <v>16160.162</v>
      </c>
      <c r="J11">
        <f>MIN(J4:J9)</f>
        <v>16019.44</v>
      </c>
    </row>
    <row r="12" spans="1:25" x14ac:dyDescent="0.3">
      <c r="L12" t="str">
        <f>C6&amp;"&amp;"&amp;A6&amp;"&amp;"&amp;D6&amp;"&amp;"&amp;I6&amp;" &amp; "&amp;J6&amp;" &amp;"&amp;H6&amp;" &amp;"&amp;ROUND(N6,3)&amp;"&amp;"&amp;ROUND(MAX(P6,Q6,R6),3)&amp;"&amp;"&amp;ROUND(MIN(P6,Q6,R6),3)&amp;"&amp;"&amp;O6</f>
        <v>23&amp;3&amp;-7998,793&amp;16178,075 &amp; 16104,998 &amp;16201,075 &amp;0&amp;0,607&amp;0,159&amp;0,88</v>
      </c>
      <c r="V12" t="s">
        <v>28</v>
      </c>
    </row>
    <row r="13" spans="1:25" x14ac:dyDescent="0.3">
      <c r="B13" t="s">
        <v>30</v>
      </c>
      <c r="L13" t="s">
        <v>164</v>
      </c>
    </row>
    <row r="14" spans="1:25" x14ac:dyDescent="0.3">
      <c r="B14" t="s">
        <v>31</v>
      </c>
    </row>
    <row r="16" spans="1:25" x14ac:dyDescent="0.3">
      <c r="B16" s="60"/>
      <c r="C16" s="60">
        <v>1</v>
      </c>
      <c r="D16" s="60">
        <v>2</v>
      </c>
      <c r="E16" s="60">
        <v>3</v>
      </c>
      <c r="F16" s="60"/>
      <c r="P16">
        <f>ROUND(MAX(P5:Q5),3)</f>
        <v>0.76600000000000001</v>
      </c>
      <c r="Q16">
        <f>ROUND(MIN(P5:Q5),3)</f>
        <v>0.23400000000000001</v>
      </c>
    </row>
    <row r="17" spans="2:22" x14ac:dyDescent="0.3">
      <c r="B17" s="60"/>
      <c r="C17" s="60"/>
      <c r="D17" s="60"/>
      <c r="E17" s="60"/>
      <c r="F17" s="60"/>
      <c r="I17" t="s">
        <v>146</v>
      </c>
      <c r="L17" t="s">
        <v>159</v>
      </c>
      <c r="P17">
        <f>ROUND(MAX(P6:R6),3)</f>
        <v>0.60699999999999998</v>
      </c>
      <c r="Q17">
        <f>ROUND(MIN(P6:R6),3)</f>
        <v>0.159</v>
      </c>
    </row>
    <row r="18" spans="2:22" x14ac:dyDescent="0.3">
      <c r="B18" s="60">
        <v>1</v>
      </c>
      <c r="C18" s="68">
        <v>1</v>
      </c>
      <c r="D18" s="68">
        <v>0</v>
      </c>
      <c r="E18" s="68">
        <v>0</v>
      </c>
      <c r="F18" s="60"/>
      <c r="G18" s="67">
        <f>C18</f>
        <v>1</v>
      </c>
      <c r="H18" t="s">
        <v>73</v>
      </c>
      <c r="I18" s="69">
        <v>599.00004999999999</v>
      </c>
      <c r="J18">
        <v>0.23408000000000001</v>
      </c>
      <c r="L18">
        <v>599</v>
      </c>
      <c r="M18">
        <v>0.23408000000000001</v>
      </c>
      <c r="P18">
        <f>ROUND(MAX(P7:S7),3)</f>
        <v>0.49399999999999999</v>
      </c>
      <c r="Q18">
        <f>ROUND(MIN(P7:S7),3)</f>
        <v>0.11700000000000001</v>
      </c>
    </row>
    <row r="19" spans="2:22" x14ac:dyDescent="0.3">
      <c r="B19" s="60">
        <v>2</v>
      </c>
      <c r="C19" s="68">
        <v>0</v>
      </c>
      <c r="D19" s="68">
        <v>1</v>
      </c>
      <c r="E19" s="68">
        <v>0</v>
      </c>
      <c r="F19" s="60"/>
      <c r="G19" s="67">
        <f>D19</f>
        <v>1</v>
      </c>
      <c r="H19" t="s">
        <v>67</v>
      </c>
      <c r="I19">
        <v>407.00909999999999</v>
      </c>
      <c r="J19">
        <v>0.15905</v>
      </c>
      <c r="L19">
        <v>308</v>
      </c>
      <c r="M19">
        <v>0.12035999999999999</v>
      </c>
      <c r="P19">
        <f>ROUND(MAX(P8:T8),3)</f>
        <v>0.46100000000000002</v>
      </c>
      <c r="Q19">
        <f>ROUND(MIN(P8:T8),3)</f>
        <v>0.11799999999999999</v>
      </c>
    </row>
    <row r="20" spans="2:22" x14ac:dyDescent="0.3">
      <c r="B20" s="60">
        <v>3</v>
      </c>
      <c r="C20" s="68">
        <v>0</v>
      </c>
      <c r="D20" s="68">
        <v>0.06</v>
      </c>
      <c r="E20" s="68">
        <v>0.94</v>
      </c>
      <c r="F20" s="60"/>
      <c r="G20" s="67">
        <f>E20</f>
        <v>0.94</v>
      </c>
      <c r="H20" t="s">
        <v>74</v>
      </c>
      <c r="I20">
        <v>1552.9908499999999</v>
      </c>
      <c r="J20">
        <v>0.60687000000000002</v>
      </c>
      <c r="L20">
        <v>1652</v>
      </c>
      <c r="M20">
        <v>0.64556000000000002</v>
      </c>
      <c r="P20">
        <f>ROUND(MAX(P9:U9),3)</f>
        <v>0.44400000000000001</v>
      </c>
      <c r="Q20">
        <f>ROUND(MIN(P9:U9),3)</f>
        <v>6.6000000000000003E-2</v>
      </c>
      <c r="V20" s="53"/>
    </row>
    <row r="21" spans="2:22" x14ac:dyDescent="0.3">
      <c r="B21" s="60"/>
      <c r="C21" s="60"/>
      <c r="D21" s="60"/>
      <c r="E21" s="60"/>
      <c r="F21" s="61"/>
    </row>
    <row r="26" spans="2:22" x14ac:dyDescent="0.3">
      <c r="C26" t="s">
        <v>33</v>
      </c>
      <c r="J26" s="69">
        <v>599.00004999999999</v>
      </c>
      <c r="K26">
        <v>0.23408000000000001</v>
      </c>
      <c r="M26" t="s">
        <v>54</v>
      </c>
      <c r="O26">
        <v>407.00909999999999</v>
      </c>
      <c r="P26">
        <v>0.15905</v>
      </c>
      <c r="R26" t="s">
        <v>55</v>
      </c>
      <c r="T26">
        <v>1552.9908499999999</v>
      </c>
      <c r="U26">
        <v>0.60687000000000002</v>
      </c>
    </row>
    <row r="27" spans="2:22" x14ac:dyDescent="0.3">
      <c r="H27" t="s">
        <v>73</v>
      </c>
      <c r="M27" t="s">
        <v>67</v>
      </c>
      <c r="R27" t="s">
        <v>74</v>
      </c>
    </row>
    <row r="28" spans="2:22" ht="15.6" x14ac:dyDescent="0.3">
      <c r="B28" s="62"/>
      <c r="C28" t="s">
        <v>32</v>
      </c>
      <c r="D28" s="62" t="s">
        <v>34</v>
      </c>
      <c r="G28" t="s">
        <v>53</v>
      </c>
      <c r="H28" s="59" t="s">
        <v>49</v>
      </c>
      <c r="I28" s="59" t="s">
        <v>50</v>
      </c>
      <c r="J28" s="59" t="s">
        <v>51</v>
      </c>
      <c r="K28" s="59" t="s">
        <v>52</v>
      </c>
      <c r="M28" s="59" t="s">
        <v>49</v>
      </c>
      <c r="N28" s="59" t="s">
        <v>50</v>
      </c>
      <c r="O28" s="59" t="s">
        <v>51</v>
      </c>
      <c r="P28" s="59" t="s">
        <v>52</v>
      </c>
      <c r="R28" s="59" t="s">
        <v>49</v>
      </c>
      <c r="S28" s="59" t="s">
        <v>50</v>
      </c>
      <c r="T28" s="59" t="s">
        <v>51</v>
      </c>
      <c r="U28" s="59" t="s">
        <v>52</v>
      </c>
    </row>
    <row r="29" spans="2:22" ht="15.6" x14ac:dyDescent="0.3">
      <c r="D29" s="65" t="s">
        <v>39</v>
      </c>
      <c r="G29">
        <v>1</v>
      </c>
      <c r="H29">
        <v>0.89600000000000002</v>
      </c>
      <c r="I29">
        <v>1.2999999999999999E-2</v>
      </c>
      <c r="J29">
        <v>66.448999999999998</v>
      </c>
      <c r="K29">
        <v>0</v>
      </c>
      <c r="M29">
        <v>0.82199999999999995</v>
      </c>
      <c r="N29">
        <v>2.3E-2</v>
      </c>
      <c r="O29">
        <v>36.284999999999997</v>
      </c>
      <c r="P29">
        <v>0</v>
      </c>
      <c r="R29">
        <v>0.82799999999999996</v>
      </c>
      <c r="S29">
        <v>0.01</v>
      </c>
      <c r="T29">
        <v>79.441999999999993</v>
      </c>
      <c r="U29">
        <v>0</v>
      </c>
    </row>
    <row r="30" spans="2:22" ht="15.6" x14ac:dyDescent="0.3">
      <c r="D30" s="65" t="s">
        <v>57</v>
      </c>
      <c r="G30">
        <v>2</v>
      </c>
      <c r="H30">
        <v>0.104</v>
      </c>
      <c r="I30">
        <v>1.2999999999999999E-2</v>
      </c>
      <c r="J30">
        <v>7.6719999999999997</v>
      </c>
      <c r="K30">
        <v>0</v>
      </c>
      <c r="M30">
        <v>0.17799999999999999</v>
      </c>
      <c r="N30">
        <v>2.3E-2</v>
      </c>
      <c r="O30">
        <v>7.8650000000000002</v>
      </c>
      <c r="P30">
        <v>0</v>
      </c>
      <c r="R30">
        <v>0.17199999999999999</v>
      </c>
      <c r="S30">
        <v>0.01</v>
      </c>
      <c r="T30">
        <v>16.530999999999999</v>
      </c>
      <c r="U30">
        <v>0</v>
      </c>
    </row>
    <row r="31" spans="2:22" ht="15.6" x14ac:dyDescent="0.3">
      <c r="D31" s="64" t="s">
        <v>35</v>
      </c>
    </row>
    <row r="32" spans="2:22" ht="15.6" x14ac:dyDescent="0.3">
      <c r="D32" s="65" t="s">
        <v>39</v>
      </c>
      <c r="G32">
        <v>1</v>
      </c>
      <c r="H32">
        <v>0.61299999999999999</v>
      </c>
      <c r="I32">
        <v>2.1000000000000001E-2</v>
      </c>
      <c r="J32">
        <v>28.89</v>
      </c>
      <c r="K32">
        <v>0</v>
      </c>
      <c r="M32">
        <v>0.90600000000000003</v>
      </c>
      <c r="N32">
        <v>1.9E-2</v>
      </c>
      <c r="O32">
        <v>46.537999999999997</v>
      </c>
      <c r="P32">
        <v>0</v>
      </c>
      <c r="R32">
        <v>0.92800000000000005</v>
      </c>
      <c r="S32">
        <v>8.9999999999999993E-3</v>
      </c>
      <c r="T32">
        <v>98.337999999999994</v>
      </c>
      <c r="U32">
        <v>0</v>
      </c>
    </row>
    <row r="33" spans="2:21" ht="15.6" x14ac:dyDescent="0.3">
      <c r="D33" s="65" t="s">
        <v>58</v>
      </c>
      <c r="G33">
        <v>2</v>
      </c>
      <c r="H33">
        <v>0.38700000000000001</v>
      </c>
      <c r="I33">
        <v>2.1000000000000001E-2</v>
      </c>
      <c r="J33">
        <v>18.263000000000002</v>
      </c>
      <c r="K33">
        <v>0</v>
      </c>
      <c r="M33">
        <v>9.4E-2</v>
      </c>
      <c r="N33">
        <v>1.9E-2</v>
      </c>
      <c r="O33">
        <v>4.8079999999999998</v>
      </c>
      <c r="P33">
        <v>0</v>
      </c>
      <c r="R33">
        <v>7.1999999999999995E-2</v>
      </c>
      <c r="S33">
        <v>8.9999999999999993E-3</v>
      </c>
      <c r="T33">
        <v>7.6349999999999998</v>
      </c>
      <c r="U33">
        <v>0</v>
      </c>
    </row>
    <row r="34" spans="2:21" ht="15.6" x14ac:dyDescent="0.3">
      <c r="B34" s="62"/>
      <c r="C34" s="62"/>
      <c r="D34" s="62" t="s">
        <v>40</v>
      </c>
    </row>
    <row r="35" spans="2:21" ht="15.6" x14ac:dyDescent="0.3">
      <c r="D35" s="63" t="s">
        <v>39</v>
      </c>
      <c r="G35">
        <v>1</v>
      </c>
      <c r="H35">
        <v>0.81799999999999995</v>
      </c>
      <c r="I35">
        <v>1.6E-2</v>
      </c>
      <c r="J35">
        <v>50.186</v>
      </c>
      <c r="K35">
        <v>0</v>
      </c>
      <c r="M35">
        <v>0.24299999999999999</v>
      </c>
      <c r="N35">
        <v>0.50700000000000001</v>
      </c>
      <c r="O35">
        <v>0.48</v>
      </c>
      <c r="P35">
        <v>0.63100000000000001</v>
      </c>
      <c r="R35">
        <v>1</v>
      </c>
      <c r="S35">
        <v>0</v>
      </c>
      <c r="T35">
        <v>0</v>
      </c>
      <c r="U35">
        <v>1</v>
      </c>
    </row>
    <row r="36" spans="2:21" ht="15.6" x14ac:dyDescent="0.3">
      <c r="D36" s="65" t="s">
        <v>59</v>
      </c>
      <c r="G36">
        <v>2</v>
      </c>
      <c r="H36">
        <v>0.182</v>
      </c>
      <c r="I36">
        <v>1.6E-2</v>
      </c>
      <c r="J36">
        <v>11.164</v>
      </c>
      <c r="K36">
        <v>0</v>
      </c>
      <c r="M36">
        <v>0.75700000000000001</v>
      </c>
      <c r="N36">
        <v>0.50700000000000001</v>
      </c>
      <c r="O36">
        <v>1.4930000000000001</v>
      </c>
      <c r="P36">
        <v>0.13500000000000001</v>
      </c>
      <c r="R36">
        <v>0</v>
      </c>
      <c r="S36">
        <v>0</v>
      </c>
      <c r="T36">
        <v>0</v>
      </c>
      <c r="U36">
        <v>1</v>
      </c>
    </row>
    <row r="37" spans="2:21" ht="15.6" x14ac:dyDescent="0.3">
      <c r="D37" s="62" t="s">
        <v>41</v>
      </c>
    </row>
    <row r="38" spans="2:21" ht="15.6" x14ac:dyDescent="0.3">
      <c r="B38" s="63"/>
      <c r="D38" t="s">
        <v>42</v>
      </c>
      <c r="G38">
        <v>1</v>
      </c>
      <c r="H38">
        <v>0.67600000000000005</v>
      </c>
      <c r="I38">
        <v>1.9E-2</v>
      </c>
      <c r="J38">
        <v>34.822000000000003</v>
      </c>
      <c r="K38">
        <v>0</v>
      </c>
      <c r="M38">
        <v>0.40300000000000002</v>
      </c>
      <c r="N38">
        <v>2.8000000000000001E-2</v>
      </c>
      <c r="O38">
        <v>14.372999999999999</v>
      </c>
      <c r="P38">
        <v>0</v>
      </c>
      <c r="R38">
        <v>0.8</v>
      </c>
      <c r="S38">
        <v>6.9000000000000006E-2</v>
      </c>
      <c r="T38">
        <v>11.573</v>
      </c>
      <c r="U38">
        <v>0</v>
      </c>
    </row>
    <row r="39" spans="2:21" ht="15.6" x14ac:dyDescent="0.3">
      <c r="B39" s="63"/>
      <c r="D39" t="s">
        <v>60</v>
      </c>
      <c r="G39">
        <v>2</v>
      </c>
      <c r="H39">
        <v>0.32400000000000001</v>
      </c>
      <c r="I39">
        <v>1.9E-2</v>
      </c>
      <c r="J39">
        <v>16.68</v>
      </c>
      <c r="K39">
        <v>0</v>
      </c>
      <c r="M39">
        <v>0.59699999999999998</v>
      </c>
      <c r="N39">
        <v>2.8000000000000001E-2</v>
      </c>
      <c r="O39">
        <v>21.256</v>
      </c>
      <c r="P39">
        <v>0</v>
      </c>
      <c r="R39">
        <v>0.2</v>
      </c>
      <c r="S39">
        <v>6.9000000000000006E-2</v>
      </c>
      <c r="T39">
        <v>2.8879999999999999</v>
      </c>
      <c r="U39">
        <v>4.0000000000000001E-3</v>
      </c>
    </row>
    <row r="40" spans="2:21" ht="15.6" x14ac:dyDescent="0.3">
      <c r="D40" s="62" t="s">
        <v>43</v>
      </c>
    </row>
    <row r="41" spans="2:21" ht="15.6" x14ac:dyDescent="0.3">
      <c r="B41" s="63"/>
      <c r="D41" t="s">
        <v>44</v>
      </c>
      <c r="G41">
        <v>1</v>
      </c>
      <c r="H41">
        <v>0.58599999999999997</v>
      </c>
      <c r="I41">
        <v>2.1000000000000001E-2</v>
      </c>
      <c r="J41">
        <v>27.951000000000001</v>
      </c>
      <c r="K41">
        <v>0</v>
      </c>
      <c r="M41">
        <v>0.77400000000000002</v>
      </c>
      <c r="N41">
        <v>0.03</v>
      </c>
      <c r="O41">
        <v>25.385000000000002</v>
      </c>
      <c r="P41">
        <v>0</v>
      </c>
      <c r="R41">
        <v>0.84299999999999997</v>
      </c>
      <c r="S41">
        <v>1.9E-2</v>
      </c>
      <c r="T41">
        <v>43.234999999999999</v>
      </c>
      <c r="U41">
        <v>0</v>
      </c>
    </row>
    <row r="42" spans="2:21" ht="15.6" x14ac:dyDescent="0.3">
      <c r="B42" s="63"/>
      <c r="D42" t="s">
        <v>61</v>
      </c>
      <c r="G42">
        <v>2</v>
      </c>
      <c r="H42">
        <v>0.41399999999999998</v>
      </c>
      <c r="I42">
        <v>2.1000000000000001E-2</v>
      </c>
      <c r="J42">
        <v>19.748999999999999</v>
      </c>
      <c r="K42">
        <v>0</v>
      </c>
      <c r="M42">
        <v>0.22600000000000001</v>
      </c>
      <c r="N42">
        <v>0.03</v>
      </c>
      <c r="O42">
        <v>7.4180000000000001</v>
      </c>
      <c r="P42">
        <v>0</v>
      </c>
      <c r="R42">
        <v>0.157</v>
      </c>
      <c r="S42">
        <v>1.9E-2</v>
      </c>
      <c r="T42">
        <v>8.0579999999999998</v>
      </c>
      <c r="U42">
        <v>0</v>
      </c>
    </row>
    <row r="43" spans="2:21" ht="15.6" x14ac:dyDescent="0.3">
      <c r="B43" s="62"/>
      <c r="D43" s="62" t="s">
        <v>45</v>
      </c>
    </row>
    <row r="44" spans="2:21" ht="15.6" x14ac:dyDescent="0.3">
      <c r="B44" s="63"/>
      <c r="D44" t="s">
        <v>46</v>
      </c>
      <c r="G44">
        <v>1</v>
      </c>
      <c r="H44">
        <v>1</v>
      </c>
      <c r="I44">
        <v>0</v>
      </c>
      <c r="J44">
        <v>0</v>
      </c>
      <c r="K44">
        <v>1</v>
      </c>
      <c r="M44">
        <v>8.1000000000000003E-2</v>
      </c>
      <c r="N44">
        <v>0.02</v>
      </c>
      <c r="O44">
        <v>3.9460000000000002</v>
      </c>
      <c r="P44">
        <v>0</v>
      </c>
      <c r="R44">
        <v>0.11700000000000001</v>
      </c>
      <c r="S44">
        <v>8.9999999999999993E-3</v>
      </c>
      <c r="T44">
        <v>13.063000000000001</v>
      </c>
      <c r="U44">
        <v>0</v>
      </c>
    </row>
    <row r="45" spans="2:21" ht="15.6" x14ac:dyDescent="0.3">
      <c r="B45" s="63"/>
      <c r="D45" t="s">
        <v>63</v>
      </c>
      <c r="G45">
        <v>2</v>
      </c>
      <c r="H45">
        <v>0</v>
      </c>
      <c r="I45">
        <v>0</v>
      </c>
      <c r="J45">
        <v>0</v>
      </c>
      <c r="K45">
        <v>1</v>
      </c>
      <c r="M45">
        <v>0.91900000000000004</v>
      </c>
      <c r="N45">
        <v>0.02</v>
      </c>
      <c r="O45">
        <v>44.912999999999997</v>
      </c>
      <c r="P45">
        <v>0</v>
      </c>
      <c r="R45">
        <v>0.88300000000000001</v>
      </c>
      <c r="S45">
        <v>8.9999999999999993E-3</v>
      </c>
      <c r="T45">
        <v>98.944000000000003</v>
      </c>
      <c r="U45">
        <v>0</v>
      </c>
    </row>
    <row r="46" spans="2:21" ht="15.6" x14ac:dyDescent="0.3">
      <c r="B46" s="63"/>
      <c r="D46" s="62" t="s">
        <v>45</v>
      </c>
    </row>
    <row r="47" spans="2:21" x14ac:dyDescent="0.3">
      <c r="B47" s="66"/>
      <c r="D47" t="s">
        <v>47</v>
      </c>
      <c r="G47">
        <v>1</v>
      </c>
      <c r="H47">
        <v>0</v>
      </c>
      <c r="I47">
        <v>0</v>
      </c>
      <c r="J47">
        <v>0</v>
      </c>
      <c r="K47">
        <v>1</v>
      </c>
      <c r="M47">
        <v>1</v>
      </c>
      <c r="N47">
        <v>0</v>
      </c>
      <c r="O47">
        <v>0</v>
      </c>
      <c r="P47">
        <v>1</v>
      </c>
      <c r="R47">
        <v>1</v>
      </c>
      <c r="S47">
        <v>0</v>
      </c>
      <c r="T47">
        <v>0</v>
      </c>
      <c r="U47">
        <v>1</v>
      </c>
    </row>
    <row r="48" spans="2:21" x14ac:dyDescent="0.3">
      <c r="D48" t="s">
        <v>62</v>
      </c>
      <c r="G48">
        <v>2</v>
      </c>
      <c r="H48">
        <v>1</v>
      </c>
      <c r="I48">
        <v>0</v>
      </c>
      <c r="J48">
        <v>0</v>
      </c>
      <c r="K48">
        <v>1</v>
      </c>
      <c r="M48">
        <v>0</v>
      </c>
      <c r="N48">
        <v>0</v>
      </c>
      <c r="O48">
        <v>0</v>
      </c>
      <c r="P48">
        <v>1</v>
      </c>
      <c r="R48">
        <v>0</v>
      </c>
      <c r="S48">
        <v>0</v>
      </c>
      <c r="T48">
        <v>0</v>
      </c>
      <c r="U48">
        <v>1</v>
      </c>
    </row>
    <row r="49" spans="4:20" x14ac:dyDescent="0.3">
      <c r="D49" s="66"/>
    </row>
    <row r="52" spans="4:20" x14ac:dyDescent="0.3">
      <c r="D52" s="66"/>
    </row>
    <row r="55" spans="4:20" x14ac:dyDescent="0.3">
      <c r="T55" t="s">
        <v>160</v>
      </c>
    </row>
    <row r="66" spans="6:20" x14ac:dyDescent="0.3">
      <c r="S66" t="s">
        <v>106</v>
      </c>
      <c r="T66" t="s">
        <v>105</v>
      </c>
    </row>
    <row r="67" spans="6:20" x14ac:dyDescent="0.3">
      <c r="S67" t="s">
        <v>107</v>
      </c>
      <c r="T67" t="s">
        <v>109</v>
      </c>
    </row>
    <row r="68" spans="6:20" x14ac:dyDescent="0.3">
      <c r="S68" t="s">
        <v>108</v>
      </c>
      <c r="T68" t="s">
        <v>110</v>
      </c>
    </row>
    <row r="76" spans="6:20" x14ac:dyDescent="0.3">
      <c r="F76">
        <v>7</v>
      </c>
      <c r="G76">
        <v>-9240.6759999999995</v>
      </c>
      <c r="H76">
        <v>18543.284</v>
      </c>
      <c r="I76">
        <v>18536.284</v>
      </c>
      <c r="J76">
        <v>18514.043000000001</v>
      </c>
      <c r="O76">
        <v>0</v>
      </c>
    </row>
    <row r="77" spans="6:20" x14ac:dyDescent="0.3">
      <c r="F77">
        <v>15</v>
      </c>
      <c r="G77">
        <v>-8085.48</v>
      </c>
      <c r="H77">
        <v>16303.671</v>
      </c>
      <c r="I77">
        <v>16288.671</v>
      </c>
      <c r="J77">
        <v>16241.012000000001</v>
      </c>
      <c r="K77">
        <v>0</v>
      </c>
      <c r="L77">
        <v>0.76600000000000001</v>
      </c>
      <c r="M77">
        <v>0.23400000000000001</v>
      </c>
      <c r="N77">
        <v>1</v>
      </c>
      <c r="O77">
        <v>0</v>
      </c>
    </row>
    <row r="78" spans="6:20" x14ac:dyDescent="0.3">
      <c r="F78">
        <v>23</v>
      </c>
      <c r="G78">
        <v>-7998.7929999999997</v>
      </c>
      <c r="H78">
        <v>16201.075000000001</v>
      </c>
      <c r="I78">
        <v>16178.075000000001</v>
      </c>
      <c r="J78">
        <v>16104.998</v>
      </c>
      <c r="K78">
        <v>0</v>
      </c>
      <c r="L78">
        <v>0.60699999999999998</v>
      </c>
      <c r="M78">
        <v>0.159</v>
      </c>
      <c r="N78">
        <v>0.88</v>
      </c>
      <c r="O78">
        <v>0</v>
      </c>
    </row>
    <row r="79" spans="6:20" x14ac:dyDescent="0.3">
      <c r="F79">
        <v>31</v>
      </c>
      <c r="G79">
        <v>-7958.49</v>
      </c>
      <c r="H79">
        <v>16191.249</v>
      </c>
      <c r="I79">
        <v>16160.249</v>
      </c>
      <c r="J79">
        <v>16061.754000000001</v>
      </c>
      <c r="K79">
        <v>0</v>
      </c>
      <c r="L79">
        <v>0.49399999999999999</v>
      </c>
      <c r="M79">
        <v>0.11700000000000001</v>
      </c>
      <c r="N79">
        <v>0.81699999999999995</v>
      </c>
      <c r="O79">
        <v>0.48599999999999999</v>
      </c>
    </row>
    <row r="80" spans="6:20" x14ac:dyDescent="0.3">
      <c r="F80">
        <v>39</v>
      </c>
      <c r="G80">
        <v>-7927.0569999999998</v>
      </c>
      <c r="H80">
        <v>16199.162</v>
      </c>
      <c r="I80">
        <v>16160.162</v>
      </c>
      <c r="J80">
        <v>16036.248</v>
      </c>
      <c r="K80">
        <v>3.4599999999999999E-2</v>
      </c>
      <c r="L80">
        <v>0.46100000000000002</v>
      </c>
      <c r="M80">
        <v>0.11799999999999999</v>
      </c>
      <c r="N80">
        <v>0.746</v>
      </c>
      <c r="O80">
        <v>0.50700000000000001</v>
      </c>
    </row>
    <row r="81" spans="6:15" x14ac:dyDescent="0.3">
      <c r="F81">
        <v>47</v>
      </c>
      <c r="G81">
        <v>-7899.973</v>
      </c>
      <c r="H81">
        <v>16215.772000000001</v>
      </c>
      <c r="I81">
        <v>16168.772000000001</v>
      </c>
      <c r="J81">
        <v>16019.44</v>
      </c>
      <c r="K81">
        <v>2.0199999999999999E-2</v>
      </c>
      <c r="L81">
        <v>0.44400000000000001</v>
      </c>
      <c r="M81">
        <v>6.6000000000000003E-2</v>
      </c>
      <c r="N81">
        <v>0.751</v>
      </c>
      <c r="O81">
        <v>7.0000000000000001E-3</v>
      </c>
    </row>
    <row r="100" spans="3:12" x14ac:dyDescent="0.3">
      <c r="E100" t="s">
        <v>146</v>
      </c>
      <c r="H100" t="s">
        <v>159</v>
      </c>
    </row>
    <row r="101" spans="3:12" x14ac:dyDescent="0.3">
      <c r="C101">
        <v>1</v>
      </c>
      <c r="D101" t="s">
        <v>73</v>
      </c>
      <c r="E101">
        <v>599.00004999999999</v>
      </c>
      <c r="F101">
        <v>0.23408000000000001</v>
      </c>
      <c r="H101">
        <v>599</v>
      </c>
      <c r="I101">
        <v>0.23408000000000001</v>
      </c>
    </row>
    <row r="102" spans="3:12" x14ac:dyDescent="0.3">
      <c r="C102">
        <v>1</v>
      </c>
      <c r="D102" t="s">
        <v>67</v>
      </c>
      <c r="E102">
        <v>407.00909999999999</v>
      </c>
      <c r="F102">
        <v>0.15905</v>
      </c>
      <c r="H102">
        <v>308</v>
      </c>
      <c r="I102">
        <v>0.12035999999999999</v>
      </c>
    </row>
    <row r="103" spans="3:12" x14ac:dyDescent="0.3">
      <c r="C103">
        <v>0.94</v>
      </c>
      <c r="D103" t="s">
        <v>74</v>
      </c>
      <c r="E103">
        <v>1552.9908499999999</v>
      </c>
      <c r="F103">
        <v>0.60687000000000002</v>
      </c>
      <c r="H103">
        <v>1652</v>
      </c>
      <c r="I103">
        <v>0.64556000000000002</v>
      </c>
    </row>
    <row r="105" spans="3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3:12" x14ac:dyDescent="0.3">
      <c r="C106">
        <v>1</v>
      </c>
      <c r="D106">
        <f>ROUND(F101,3)</f>
        <v>0.23400000000000001</v>
      </c>
      <c r="E106">
        <f>ROUND(I101,3)</f>
        <v>0.23400000000000001</v>
      </c>
      <c r="F106">
        <f>ROUND(C101,3)</f>
        <v>1</v>
      </c>
      <c r="G106" t="e">
        <f>ROUND((F106/(1-F106))/(D106/(1-D106)),3)</f>
        <v>#DIV/0!</v>
      </c>
      <c r="H106">
        <f>ROUND(H101/$L$106,3)</f>
        <v>26.042999999999999</v>
      </c>
      <c r="L106">
        <f>C6</f>
        <v>23</v>
      </c>
    </row>
    <row r="107" spans="3:12" x14ac:dyDescent="0.3">
      <c r="C107">
        <v>2</v>
      </c>
      <c r="D107">
        <f t="shared" ref="D107:D108" si="1">ROUND(F102,3)</f>
        <v>0.159</v>
      </c>
      <c r="E107">
        <f t="shared" ref="E107:E108" si="2">ROUND(I102,3)</f>
        <v>0.12</v>
      </c>
      <c r="F107">
        <f t="shared" ref="F107:F108" si="3">ROUND(C102,3)</f>
        <v>1</v>
      </c>
      <c r="G107" t="e">
        <f>ROUND((F107/(1-F107))/(D107/(1-D107)),3)</f>
        <v>#DIV/0!</v>
      </c>
      <c r="H107">
        <f>ROUND(H102/$L$106,3)</f>
        <v>13.391</v>
      </c>
    </row>
    <row r="108" spans="3:12" x14ac:dyDescent="0.3">
      <c r="C108">
        <v>3</v>
      </c>
      <c r="D108">
        <f t="shared" si="1"/>
        <v>0.60699999999999998</v>
      </c>
      <c r="E108">
        <f t="shared" si="2"/>
        <v>0.64600000000000002</v>
      </c>
      <c r="F108">
        <f t="shared" si="3"/>
        <v>0.94</v>
      </c>
      <c r="G108">
        <f>ROUND((F108/(1-F108))/(D108/(1-D108)),3)</f>
        <v>10.143000000000001</v>
      </c>
      <c r="H108">
        <f>ROUND(H103/$L$106,3)</f>
        <v>71.825999999999993</v>
      </c>
    </row>
    <row r="110" spans="3:12" x14ac:dyDescent="0.3">
      <c r="C110" t="str">
        <f>C106&amp;"&amp;"&amp;D101&amp;"&amp;"&amp;D106&amp;"&amp;"&amp;E106&amp;"&amp;"&amp;F106&amp;"&amp;"&amp;"$&gt;$"&amp;"&amp;"&amp;H106</f>
        <v>1&amp;Indifferent&amp;0,234&amp;0,234&amp;1&amp;$&gt;$&amp;26,043</v>
      </c>
    </row>
    <row r="111" spans="3:12" x14ac:dyDescent="0.3">
      <c r="C111" t="str">
        <f>C107&amp;"&amp;"&amp;D102&amp;"&amp;"&amp;D107&amp;"&amp;"&amp;E107&amp;"&amp;"&amp;F107&amp;"&amp;"&amp;"$&gt;$"&amp;"&amp;"&amp;H107</f>
        <v>2&amp;ExtreMiss&amp;0,159&amp;0,12&amp;1&amp;$&gt;$&amp;13,391</v>
      </c>
    </row>
    <row r="112" spans="3:12" x14ac:dyDescent="0.3">
      <c r="C112" t="str">
        <f>C108&amp;"&amp;"&amp;D103&amp;"&amp;"&amp;D108&amp;"&amp;"&amp;E108&amp;"&amp;"&amp;F108&amp;"&amp;"&amp;G108&amp;"&amp;"&amp;H108</f>
        <v>3&amp;Optimize&amp;0,607&amp;0,646&amp;0,94&amp;10,143&amp;71,826</v>
      </c>
    </row>
    <row r="116" spans="3:3" x14ac:dyDescent="0.3">
      <c r="C116" t="s">
        <v>199</v>
      </c>
    </row>
    <row r="117" spans="3:3" x14ac:dyDescent="0.3">
      <c r="C117" t="s">
        <v>183</v>
      </c>
    </row>
    <row r="118" spans="3:3" x14ac:dyDescent="0.3">
      <c r="C118" t="s">
        <v>182</v>
      </c>
    </row>
  </sheetData>
  <autoFilter ref="A3:W9" xr:uid="{00000000-0009-0000-0000-000007000000}"/>
  <conditionalFormatting sqref="B28 B34:C34 B38:B39 B41:B48">
    <cfRule type="containsBlanks" priority="14" stopIfTrue="1">
      <formula>LEN(TRIM(B28))=0</formula>
    </cfRule>
  </conditionalFormatting>
  <conditionalFormatting sqref="C18 D19 E20">
    <cfRule type="cellIs" dxfId="39" priority="7" operator="lessThan">
      <formula>0.8</formula>
    </cfRule>
    <cfRule type="cellIs" dxfId="38" priority="9" operator="between">
      <formula>0.8</formula>
      <formula>0.85</formula>
    </cfRule>
    <cfRule type="cellIs" dxfId="37" priority="10" operator="greaterThanOrEqual">
      <formula>0.85</formula>
    </cfRule>
  </conditionalFormatting>
  <conditionalFormatting sqref="C18 D19">
    <cfRule type="cellIs" dxfId="36" priority="8" operator="equal">
      <formula>1</formula>
    </cfRule>
  </conditionalFormatting>
  <conditionalFormatting sqref="D28:D37">
    <cfRule type="containsBlanks" priority="5" stopIfTrue="1">
      <formula>LEN(TRIM(D28))=0</formula>
    </cfRule>
  </conditionalFormatting>
  <conditionalFormatting sqref="D40">
    <cfRule type="containsBlanks" priority="6" stopIfTrue="1">
      <formula>LEN(TRIM(D40))=0</formula>
    </cfRule>
  </conditionalFormatting>
  <conditionalFormatting sqref="D43">
    <cfRule type="containsBlanks" priority="4" stopIfTrue="1">
      <formula>LEN(TRIM(D43))=0</formula>
    </cfRule>
  </conditionalFormatting>
  <conditionalFormatting sqref="D46">
    <cfRule type="containsBlanks" priority="3" stopIfTrue="1">
      <formula>LEN(TRIM(D46))=0</formula>
    </cfRule>
  </conditionalFormatting>
  <conditionalFormatting sqref="D49:D53">
    <cfRule type="containsBlanks" priority="2" stopIfTrue="1">
      <formula>LEN(TRIM(D49))=0</formula>
    </cfRule>
  </conditionalFormatting>
  <conditionalFormatting sqref="H4:J11">
    <cfRule type="duplicateValues" dxfId="35" priority="1"/>
  </conditionalFormatting>
  <conditionalFormatting sqref="P4:P9">
    <cfRule type="cellIs" dxfId="34" priority="15" stopIfTrue="1" operator="between">
      <formula>0</formula>
      <formula>0.05</formula>
    </cfRule>
  </conditionalFormatting>
  <conditionalFormatting sqref="Q5:Q9">
    <cfRule type="cellIs" dxfId="33" priority="16" stopIfTrue="1" operator="between">
      <formula>0</formula>
      <formula>0.05</formula>
    </cfRule>
  </conditionalFormatting>
  <conditionalFormatting sqref="R6:R9">
    <cfRule type="cellIs" dxfId="32" priority="17" stopIfTrue="1" operator="between">
      <formula>0</formula>
      <formula>0.05</formula>
    </cfRule>
  </conditionalFormatting>
  <conditionalFormatting sqref="S7:S9">
    <cfRule type="cellIs" dxfId="31" priority="18" stopIfTrue="1" operator="between">
      <formula>0</formula>
      <formula>0.05</formula>
    </cfRule>
  </conditionalFormatting>
  <conditionalFormatting sqref="T8:T9">
    <cfRule type="cellIs" dxfId="30" priority="19" stopIfTrue="1" operator="between">
      <formula>0</formula>
      <formula>0.05</formula>
    </cfRule>
  </conditionalFormatting>
  <conditionalFormatting sqref="U9">
    <cfRule type="cellIs" dxfId="29" priority="20" stopIfTrue="1" operator="between">
      <formula>0</formula>
      <formula>0.05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P118"/>
  <sheetViews>
    <sheetView zoomScale="70" zoomScaleNormal="70" workbookViewId="0">
      <pane xSplit="1" ySplit="1" topLeftCell="G43" activePane="bottomRight" state="frozen"/>
      <selection pane="topRight"/>
      <selection pane="bottomLeft"/>
      <selection pane="bottomRight" activeCell="J25" sqref="J25"/>
    </sheetView>
  </sheetViews>
  <sheetFormatPr defaultColWidth="11.5546875" defaultRowHeight="14.4" x14ac:dyDescent="0.3"/>
  <sheetData>
    <row r="1" spans="1:28" ht="17.399999999999999" x14ac:dyDescent="0.35">
      <c r="A1" s="1" t="s">
        <v>172</v>
      </c>
    </row>
    <row r="3" spans="1:2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116</v>
      </c>
      <c r="W3" t="s">
        <v>117</v>
      </c>
      <c r="X3" t="s">
        <v>118</v>
      </c>
      <c r="Y3" t="s">
        <v>119</v>
      </c>
      <c r="Z3" t="s">
        <v>21</v>
      </c>
      <c r="AA3" t="s">
        <v>22</v>
      </c>
    </row>
    <row r="4" spans="1:28" x14ac:dyDescent="0.3">
      <c r="A4">
        <v>1</v>
      </c>
      <c r="B4" s="70" t="s">
        <v>23</v>
      </c>
      <c r="C4">
        <v>9</v>
      </c>
      <c r="D4">
        <v>-26334.386999999999</v>
      </c>
      <c r="E4">
        <v>1.083</v>
      </c>
      <c r="F4" t="s">
        <v>23</v>
      </c>
      <c r="G4">
        <v>52686.773999999998</v>
      </c>
      <c r="H4" s="3">
        <v>52756.743999999999</v>
      </c>
      <c r="I4" s="3">
        <v>52747.743999999999</v>
      </c>
      <c r="J4" s="3">
        <v>52719.144</v>
      </c>
      <c r="K4">
        <v>9462.8029999999999</v>
      </c>
      <c r="L4">
        <v>5881.47</v>
      </c>
      <c r="P4">
        <v>1</v>
      </c>
      <c r="Z4">
        <v>5061.4189999999999</v>
      </c>
      <c r="AA4">
        <v>0</v>
      </c>
    </row>
    <row r="5" spans="1:28" x14ac:dyDescent="0.3">
      <c r="A5">
        <v>2</v>
      </c>
      <c r="B5" s="70" t="s">
        <v>23</v>
      </c>
      <c r="C5">
        <v>19</v>
      </c>
      <c r="D5">
        <v>-24205.428</v>
      </c>
      <c r="E5">
        <v>1.0501</v>
      </c>
      <c r="F5" t="s">
        <v>23</v>
      </c>
      <c r="G5">
        <v>48448.856</v>
      </c>
      <c r="H5" s="16">
        <v>48596.571000000004</v>
      </c>
      <c r="I5" s="16">
        <v>48577.571000000004</v>
      </c>
      <c r="J5" s="18">
        <v>48517.194000000003</v>
      </c>
      <c r="K5">
        <v>3654.9349999999999</v>
      </c>
      <c r="L5">
        <v>1690.9190000000001</v>
      </c>
      <c r="M5">
        <v>0</v>
      </c>
      <c r="N5">
        <v>0</v>
      </c>
      <c r="O5" s="2">
        <v>1</v>
      </c>
      <c r="P5">
        <v>0.70016999999999996</v>
      </c>
      <c r="Q5">
        <v>0.29982999999999999</v>
      </c>
      <c r="Z5">
        <v>891.24600000000601</v>
      </c>
      <c r="AA5">
        <v>0</v>
      </c>
    </row>
    <row r="6" spans="1:28" x14ac:dyDescent="0.3">
      <c r="A6">
        <v>3</v>
      </c>
      <c r="B6" s="70" t="s">
        <v>23</v>
      </c>
      <c r="C6">
        <v>29</v>
      </c>
      <c r="D6">
        <v>-24006.884999999998</v>
      </c>
      <c r="E6">
        <v>1.2114</v>
      </c>
      <c r="F6" t="s">
        <v>23</v>
      </c>
      <c r="G6">
        <v>48071.77</v>
      </c>
      <c r="H6" s="17">
        <v>48297.23</v>
      </c>
      <c r="I6" s="17">
        <v>48268.23</v>
      </c>
      <c r="J6" s="11">
        <v>48176.074999999997</v>
      </c>
      <c r="K6">
        <v>2128.665</v>
      </c>
      <c r="L6">
        <v>1313.5719999999999</v>
      </c>
      <c r="M6">
        <v>1.1999999999999999E-3</v>
      </c>
      <c r="N6">
        <v>1.2999999999999999E-3</v>
      </c>
      <c r="O6" s="10">
        <v>0.91300000000000003</v>
      </c>
      <c r="P6">
        <v>6.1699999999999998E-2</v>
      </c>
      <c r="Q6">
        <v>0.28999999999999998</v>
      </c>
      <c r="R6">
        <v>0.64829000000000003</v>
      </c>
      <c r="Z6">
        <v>581.905000000006</v>
      </c>
      <c r="AA6">
        <v>0</v>
      </c>
    </row>
    <row r="7" spans="1:28" x14ac:dyDescent="0.3">
      <c r="A7">
        <v>4</v>
      </c>
      <c r="B7" s="70" t="s">
        <v>23</v>
      </c>
      <c r="C7">
        <v>39</v>
      </c>
      <c r="D7">
        <v>-23824.429</v>
      </c>
      <c r="E7">
        <v>1.1647000000000001</v>
      </c>
      <c r="F7" t="s">
        <v>23</v>
      </c>
      <c r="G7">
        <v>47726.858</v>
      </c>
      <c r="H7" s="4">
        <v>48030.063000000002</v>
      </c>
      <c r="I7" s="12">
        <v>47991.063000000002</v>
      </c>
      <c r="J7" s="12">
        <v>47867.131000000001</v>
      </c>
      <c r="K7">
        <v>1663.6559999999999</v>
      </c>
      <c r="L7">
        <v>941.15099999999995</v>
      </c>
      <c r="M7">
        <v>1E-4</v>
      </c>
      <c r="N7">
        <v>2.0000000000000001E-4</v>
      </c>
      <c r="O7" s="10">
        <v>0.77800000000000002</v>
      </c>
      <c r="P7">
        <v>0.28843000000000002</v>
      </c>
      <c r="Q7">
        <v>9.9099999999999994E-2</v>
      </c>
      <c r="R7">
        <v>0.16875000000000001</v>
      </c>
      <c r="S7">
        <v>0.44373000000000001</v>
      </c>
      <c r="Z7">
        <v>304.738000000005</v>
      </c>
      <c r="AA7">
        <v>0</v>
      </c>
    </row>
    <row r="8" spans="1:28" x14ac:dyDescent="0.3">
      <c r="A8">
        <v>5</v>
      </c>
      <c r="B8" s="70" t="s">
        <v>23</v>
      </c>
      <c r="C8">
        <v>49</v>
      </c>
      <c r="D8">
        <v>-23681.489000000001</v>
      </c>
      <c r="E8">
        <v>1.1533</v>
      </c>
      <c r="F8" t="s">
        <v>23</v>
      </c>
      <c r="G8">
        <v>47460.976999999999</v>
      </c>
      <c r="H8" s="5">
        <v>47841.925999999999</v>
      </c>
      <c r="I8" s="5">
        <v>47792.925999999999</v>
      </c>
      <c r="J8" s="7">
        <v>47637.216999999997</v>
      </c>
      <c r="K8">
        <v>861.32</v>
      </c>
      <c r="L8">
        <v>668.12199999999996</v>
      </c>
      <c r="M8">
        <v>8.9999999999999998E-4</v>
      </c>
      <c r="N8">
        <v>8.9999999999999998E-4</v>
      </c>
      <c r="O8" s="10">
        <v>0.81899999999999995</v>
      </c>
      <c r="P8">
        <v>4.3749999999999997E-2</v>
      </c>
      <c r="Q8">
        <v>7.7850000000000003E-2</v>
      </c>
      <c r="R8">
        <v>9.6540000000000001E-2</v>
      </c>
      <c r="S8">
        <v>0.21546999999999999</v>
      </c>
      <c r="T8">
        <v>0.56638999999999995</v>
      </c>
      <c r="Z8">
        <v>106.601000000002</v>
      </c>
      <c r="AA8">
        <v>0</v>
      </c>
    </row>
    <row r="9" spans="1:28" x14ac:dyDescent="0.3">
      <c r="A9">
        <v>6</v>
      </c>
      <c r="B9" s="70" t="s">
        <v>23</v>
      </c>
      <c r="C9">
        <v>59</v>
      </c>
      <c r="D9">
        <v>-23592.61</v>
      </c>
      <c r="E9">
        <v>1.0734999999999999</v>
      </c>
      <c r="F9" t="s">
        <v>23</v>
      </c>
      <c r="G9">
        <v>47303.220999999998</v>
      </c>
      <c r="H9" s="6">
        <v>47761.913999999997</v>
      </c>
      <c r="I9" s="6">
        <v>47702.913999999997</v>
      </c>
      <c r="J9" s="6">
        <v>47515.427000000003</v>
      </c>
      <c r="K9">
        <v>705.26400000000001</v>
      </c>
      <c r="L9">
        <v>487.36900000000003</v>
      </c>
      <c r="M9">
        <v>0</v>
      </c>
      <c r="N9">
        <v>0</v>
      </c>
      <c r="O9" s="10">
        <v>0.9</v>
      </c>
      <c r="P9">
        <v>7.7490000000000003E-2</v>
      </c>
      <c r="Q9">
        <v>3.0169999999999999E-2</v>
      </c>
      <c r="R9">
        <v>0.21626000000000001</v>
      </c>
      <c r="S9">
        <v>4.1320000000000003E-2</v>
      </c>
      <c r="T9">
        <v>4.274E-2</v>
      </c>
      <c r="U9">
        <v>0.59201000000000004</v>
      </c>
      <c r="Z9">
        <v>16.588999999999899</v>
      </c>
      <c r="AA9">
        <v>0</v>
      </c>
    </row>
    <row r="10" spans="1:28" x14ac:dyDescent="0.3">
      <c r="A10" s="42">
        <v>7</v>
      </c>
      <c r="B10" s="71" t="s">
        <v>23</v>
      </c>
      <c r="C10" s="44">
        <v>69</v>
      </c>
      <c r="D10" s="44">
        <v>-23540.444</v>
      </c>
      <c r="E10" s="44">
        <v>1.1075999999999999</v>
      </c>
      <c r="F10" s="44" t="s">
        <v>23</v>
      </c>
      <c r="G10" s="44">
        <v>47218.887000000002</v>
      </c>
      <c r="H10" s="44">
        <v>47755.324999999997</v>
      </c>
      <c r="I10" s="44">
        <v>47686.324999999997</v>
      </c>
      <c r="J10" s="44">
        <v>47467.061000000002</v>
      </c>
      <c r="K10" s="44">
        <v>383.97199999999998</v>
      </c>
      <c r="L10" s="44">
        <v>377.28</v>
      </c>
      <c r="M10" s="44">
        <v>2.8899999999999999E-2</v>
      </c>
      <c r="N10" s="44">
        <v>2.9899999999999999E-2</v>
      </c>
      <c r="O10" s="44">
        <v>0.90600000000000003</v>
      </c>
      <c r="P10" s="44">
        <v>5.5939999999999997E-2</v>
      </c>
      <c r="Q10" s="44">
        <v>0.59319</v>
      </c>
      <c r="R10" s="44">
        <v>1.702E-2</v>
      </c>
      <c r="S10" s="44">
        <v>3.8800000000000001E-2</v>
      </c>
      <c r="T10" s="44">
        <v>3.1989999999999998E-2</v>
      </c>
      <c r="U10" s="44">
        <v>4.165E-2</v>
      </c>
      <c r="V10" s="44">
        <v>0.22141</v>
      </c>
      <c r="W10" s="44"/>
      <c r="X10" s="44"/>
      <c r="Y10" s="44"/>
      <c r="Z10" s="44">
        <v>0</v>
      </c>
      <c r="AA10" s="49">
        <v>1</v>
      </c>
    </row>
    <row r="11" spans="1:28" x14ac:dyDescent="0.3">
      <c r="A11">
        <v>8</v>
      </c>
      <c r="B11" s="70" t="s">
        <v>23</v>
      </c>
      <c r="C11">
        <v>79</v>
      </c>
      <c r="D11">
        <v>-23518.814999999999</v>
      </c>
      <c r="E11">
        <v>1.0644</v>
      </c>
      <c r="F11" t="s">
        <v>23</v>
      </c>
      <c r="G11">
        <v>47195.63</v>
      </c>
      <c r="H11">
        <v>47809.813000000002</v>
      </c>
      <c r="I11">
        <v>47730.813000000002</v>
      </c>
      <c r="J11">
        <v>47479.771000000001</v>
      </c>
      <c r="K11">
        <v>361.3</v>
      </c>
      <c r="L11">
        <v>332.36399999999998</v>
      </c>
      <c r="M11">
        <v>1.8E-3</v>
      </c>
      <c r="N11">
        <v>2E-3</v>
      </c>
      <c r="O11">
        <v>0.79700000000000004</v>
      </c>
      <c r="P11">
        <v>0.12898000000000001</v>
      </c>
      <c r="Q11">
        <v>2.8799999999999999E-2</v>
      </c>
      <c r="R11">
        <v>3.4340000000000002E-2</v>
      </c>
      <c r="S11">
        <v>0.22211</v>
      </c>
      <c r="T11">
        <v>5.5359999999999999E-2</v>
      </c>
      <c r="U11">
        <v>6.6350000000000006E-2</v>
      </c>
      <c r="V11">
        <v>1.9800000000000002E-2</v>
      </c>
      <c r="W11">
        <v>0.44425999999999999</v>
      </c>
      <c r="Z11">
        <v>44.488000000004803</v>
      </c>
      <c r="AA11">
        <v>0</v>
      </c>
    </row>
    <row r="12" spans="1:28" x14ac:dyDescent="0.3">
      <c r="A12">
        <v>9</v>
      </c>
      <c r="B12" s="70" t="s">
        <v>23</v>
      </c>
      <c r="C12">
        <v>89</v>
      </c>
      <c r="D12">
        <v>-23502.489000000001</v>
      </c>
      <c r="E12">
        <v>1.0674999999999999</v>
      </c>
      <c r="F12" t="s">
        <v>23</v>
      </c>
      <c r="G12">
        <v>47182.978999999999</v>
      </c>
      <c r="H12">
        <v>47874.906000000003</v>
      </c>
      <c r="I12">
        <v>47785.906000000003</v>
      </c>
      <c r="J12">
        <v>47503.087</v>
      </c>
      <c r="K12">
        <v>353.88</v>
      </c>
      <c r="L12">
        <v>309.82600000000002</v>
      </c>
      <c r="M12">
        <v>5.5599999999999997E-2</v>
      </c>
      <c r="N12">
        <v>5.8000000000000003E-2</v>
      </c>
      <c r="O12">
        <v>0.78600000000000003</v>
      </c>
      <c r="P12">
        <v>4.2590000000000003E-2</v>
      </c>
      <c r="Q12">
        <v>7.5539999999999996E-2</v>
      </c>
      <c r="R12">
        <v>0.24471999999999999</v>
      </c>
      <c r="S12">
        <v>1.8380000000000001E-2</v>
      </c>
      <c r="T12">
        <v>0.16037000000000001</v>
      </c>
      <c r="U12">
        <v>5.6469999999999999E-2</v>
      </c>
      <c r="V12">
        <v>0.22292999999999999</v>
      </c>
      <c r="W12">
        <v>0.15934999999999999</v>
      </c>
      <c r="X12">
        <v>1.9650000000000001E-2</v>
      </c>
      <c r="Z12">
        <v>99.581000000005602</v>
      </c>
      <c r="AA12">
        <v>0</v>
      </c>
    </row>
    <row r="13" spans="1:28" x14ac:dyDescent="0.3">
      <c r="A13">
        <v>10</v>
      </c>
      <c r="B13" s="70" t="s">
        <v>23</v>
      </c>
      <c r="C13">
        <v>99</v>
      </c>
      <c r="D13">
        <v>-23488.303</v>
      </c>
      <c r="E13">
        <v>1.0589</v>
      </c>
      <c r="F13" t="s">
        <v>23</v>
      </c>
      <c r="G13">
        <v>47174.607000000004</v>
      </c>
      <c r="H13">
        <v>47944.279000000002</v>
      </c>
      <c r="I13">
        <v>47845.279000000002</v>
      </c>
      <c r="J13">
        <v>47530.682000000001</v>
      </c>
      <c r="K13">
        <v>379.79199999999997</v>
      </c>
      <c r="L13">
        <v>281.45499999999998</v>
      </c>
      <c r="M13">
        <v>0.1103</v>
      </c>
      <c r="N13">
        <v>0.1134</v>
      </c>
      <c r="O13">
        <v>0.80600000000000005</v>
      </c>
      <c r="P13">
        <v>1.576E-2</v>
      </c>
      <c r="Q13">
        <v>0.21808</v>
      </c>
      <c r="R13">
        <v>2.5690000000000001E-2</v>
      </c>
      <c r="S13">
        <v>3.4979999999999997E-2</v>
      </c>
      <c r="T13">
        <v>2.1489999999999999E-2</v>
      </c>
      <c r="U13">
        <v>4.9610000000000001E-2</v>
      </c>
      <c r="V13">
        <v>1.7250000000000001E-2</v>
      </c>
      <c r="W13">
        <v>0.13855999999999999</v>
      </c>
      <c r="X13">
        <v>4.9829999999999999E-2</v>
      </c>
      <c r="Y13">
        <v>0.42875999999999997</v>
      </c>
      <c r="Z13">
        <v>158.95400000000501</v>
      </c>
      <c r="AA13">
        <v>0</v>
      </c>
    </row>
    <row r="15" spans="1:28" x14ac:dyDescent="0.3">
      <c r="H15">
        <f>MIN(H4:H13)</f>
        <v>47755.324999999997</v>
      </c>
      <c r="I15">
        <f>MIN(I4:I13)</f>
        <v>47686.324999999997</v>
      </c>
      <c r="J15">
        <f>MIN(J4:J13)</f>
        <v>47467.061000000002</v>
      </c>
    </row>
    <row r="16" spans="1:28" x14ac:dyDescent="0.3">
      <c r="B16" t="s">
        <v>30</v>
      </c>
      <c r="J16">
        <v>9</v>
      </c>
      <c r="K16">
        <v>-26334.386999999999</v>
      </c>
      <c r="L16">
        <v>52756.743999999999</v>
      </c>
      <c r="M16">
        <v>52747.743999999999</v>
      </c>
      <c r="N16">
        <v>52719.144</v>
      </c>
      <c r="S16">
        <v>0</v>
      </c>
      <c r="AB16">
        <v>2</v>
      </c>
    </row>
    <row r="17" spans="2:42" x14ac:dyDescent="0.3">
      <c r="B17" t="s">
        <v>31</v>
      </c>
      <c r="J17">
        <v>19</v>
      </c>
      <c r="K17">
        <v>-24205.428</v>
      </c>
      <c r="L17">
        <v>48596.571000000004</v>
      </c>
      <c r="M17">
        <v>48577.571000000004</v>
      </c>
      <c r="N17">
        <v>48517.194000000003</v>
      </c>
      <c r="O17">
        <v>0</v>
      </c>
      <c r="P17">
        <f>ROUND(MAX(P5:Q5),3)</f>
        <v>0.7</v>
      </c>
      <c r="Q17">
        <f>ROUND(MIN(P5:Q5),3)</f>
        <v>0.3</v>
      </c>
      <c r="R17">
        <v>1</v>
      </c>
      <c r="S17">
        <v>0</v>
      </c>
    </row>
    <row r="18" spans="2:42" x14ac:dyDescent="0.3">
      <c r="J18">
        <v>29</v>
      </c>
      <c r="K18">
        <v>-24006.884999999998</v>
      </c>
      <c r="L18">
        <v>48297.23</v>
      </c>
      <c r="M18">
        <v>48268.23</v>
      </c>
      <c r="N18">
        <v>48176.074999999997</v>
      </c>
      <c r="O18">
        <v>1.2999999999999999E-3</v>
      </c>
      <c r="P18">
        <f>ROUND(MAX(P6:R6),3)</f>
        <v>0.64800000000000002</v>
      </c>
      <c r="Q18">
        <f>ROUND(MIN(P6:R6),3)</f>
        <v>6.2E-2</v>
      </c>
      <c r="R18">
        <v>0.91300000000000003</v>
      </c>
      <c r="S18">
        <v>0</v>
      </c>
    </row>
    <row r="19" spans="2:42" x14ac:dyDescent="0.3">
      <c r="B19" s="60"/>
      <c r="C19" s="60">
        <v>1</v>
      </c>
      <c r="D19" s="60">
        <v>2</v>
      </c>
      <c r="E19" s="60">
        <v>3</v>
      </c>
      <c r="F19" s="60"/>
      <c r="G19" s="60"/>
      <c r="H19" s="60"/>
      <c r="I19" s="60"/>
      <c r="J19">
        <v>39</v>
      </c>
      <c r="K19">
        <v>-23824.429</v>
      </c>
      <c r="L19">
        <v>48030.063000000002</v>
      </c>
      <c r="M19">
        <v>47991.063000000002</v>
      </c>
      <c r="N19">
        <v>47867.131000000001</v>
      </c>
      <c r="O19">
        <v>2.0000000000000001E-4</v>
      </c>
      <c r="P19">
        <f>ROUND(MAX(P7:S7),3)</f>
        <v>0.44400000000000001</v>
      </c>
      <c r="Q19">
        <f>ROUND(MIN(P7:S7),3)</f>
        <v>9.9000000000000005E-2</v>
      </c>
      <c r="R19">
        <v>0.77800000000000002</v>
      </c>
      <c r="S19">
        <v>0</v>
      </c>
    </row>
    <row r="20" spans="2:42" x14ac:dyDescent="0.3">
      <c r="B20" s="60"/>
      <c r="C20" s="60"/>
      <c r="D20" s="60"/>
      <c r="E20" s="60"/>
      <c r="F20" s="60"/>
      <c r="J20">
        <v>49</v>
      </c>
      <c r="K20">
        <v>-23681.489000000001</v>
      </c>
      <c r="L20">
        <v>47841.925999999999</v>
      </c>
      <c r="M20">
        <v>47792.925999999999</v>
      </c>
      <c r="N20">
        <v>47637.216999999997</v>
      </c>
      <c r="O20">
        <v>8.9999999999999998E-4</v>
      </c>
      <c r="P20">
        <f>ROUND(MAX(P8:T8),3)</f>
        <v>0.56599999999999995</v>
      </c>
      <c r="Q20">
        <f>ROUND(MIN(P8:T8),3)</f>
        <v>4.3999999999999997E-2</v>
      </c>
      <c r="R20">
        <v>0.81899999999999995</v>
      </c>
      <c r="S20">
        <v>0</v>
      </c>
    </row>
    <row r="21" spans="2:42" x14ac:dyDescent="0.3">
      <c r="B21" s="60">
        <v>1</v>
      </c>
      <c r="C21" s="68">
        <v>0.97299999999999998</v>
      </c>
      <c r="D21" s="68">
        <v>0</v>
      </c>
      <c r="E21" s="68">
        <v>2.7E-2</v>
      </c>
      <c r="F21" s="68"/>
      <c r="H21" s="68"/>
      <c r="I21" s="68"/>
      <c r="J21">
        <v>59</v>
      </c>
      <c r="K21">
        <v>-23592.61</v>
      </c>
      <c r="L21">
        <v>47761.913999999997</v>
      </c>
      <c r="M21">
        <v>47702.913999999997</v>
      </c>
      <c r="N21">
        <v>47515.427000000003</v>
      </c>
      <c r="O21">
        <v>0</v>
      </c>
      <c r="P21">
        <f>ROUND(MAX(P9:U9),3)</f>
        <v>0.59199999999999997</v>
      </c>
      <c r="Q21">
        <f>ROUND(MIN(P9:U9),3)</f>
        <v>0.03</v>
      </c>
      <c r="R21">
        <v>0.9</v>
      </c>
      <c r="S21">
        <v>0</v>
      </c>
      <c r="V21" t="s">
        <v>146</v>
      </c>
      <c r="Y21" t="s">
        <v>201</v>
      </c>
    </row>
    <row r="22" spans="2:42" x14ac:dyDescent="0.3">
      <c r="B22" s="60">
        <v>2</v>
      </c>
      <c r="C22" s="68">
        <v>0</v>
      </c>
      <c r="D22" s="68">
        <v>0.96599999999999997</v>
      </c>
      <c r="E22" s="68">
        <v>3.4000000000000002E-2</v>
      </c>
      <c r="F22" s="68"/>
      <c r="H22" s="68"/>
      <c r="I22" s="68"/>
      <c r="J22">
        <v>69</v>
      </c>
      <c r="K22">
        <v>-23540.444</v>
      </c>
      <c r="L22">
        <v>47755.324999999997</v>
      </c>
      <c r="M22">
        <v>47686.324999999997</v>
      </c>
      <c r="N22">
        <v>47467.061000000002</v>
      </c>
      <c r="O22">
        <v>2.9899999999999999E-2</v>
      </c>
      <c r="P22">
        <f>ROUND(MAX(P10:V10),3)</f>
        <v>0.59299999999999997</v>
      </c>
      <c r="Q22">
        <f>ROUND(MIN(P10:V10),3)</f>
        <v>1.7000000000000001E-2</v>
      </c>
      <c r="R22">
        <v>0.90600000000000003</v>
      </c>
      <c r="S22">
        <v>1</v>
      </c>
      <c r="T22" s="67">
        <f>C21</f>
        <v>0.97299999999999998</v>
      </c>
      <c r="U22" t="s">
        <v>133</v>
      </c>
      <c r="V22">
        <v>1875.4592299999999</v>
      </c>
      <c r="W22">
        <v>0.28999999999999998</v>
      </c>
      <c r="Y22">
        <v>1926</v>
      </c>
      <c r="Z22">
        <v>0.29781999999999997</v>
      </c>
    </row>
    <row r="23" spans="2:42" x14ac:dyDescent="0.3">
      <c r="B23" s="60">
        <v>3</v>
      </c>
      <c r="C23" s="68">
        <v>8.0000000000000002E-3</v>
      </c>
      <c r="D23" s="68">
        <v>0.13300000000000001</v>
      </c>
      <c r="E23" s="68">
        <v>0.85799999999999998</v>
      </c>
      <c r="F23" s="68"/>
      <c r="H23" s="68"/>
      <c r="I23" s="68"/>
      <c r="J23" s="69">
        <v>79</v>
      </c>
      <c r="K23">
        <v>-23518.814999999999</v>
      </c>
      <c r="L23">
        <v>47809.813000000002</v>
      </c>
      <c r="M23">
        <v>47730.813000000002</v>
      </c>
      <c r="N23">
        <v>47479.771000000001</v>
      </c>
      <c r="O23">
        <v>2E-3</v>
      </c>
      <c r="P23">
        <f>ROUND(MAX(P11:W11),3)</f>
        <v>0.44400000000000001</v>
      </c>
      <c r="Q23">
        <f>ROUND(MIN(P11:W11),3)</f>
        <v>0.02</v>
      </c>
      <c r="R23">
        <v>0.79700000000000004</v>
      </c>
      <c r="S23">
        <v>0</v>
      </c>
      <c r="T23" s="67">
        <f>D22</f>
        <v>0.96599999999999997</v>
      </c>
      <c r="U23" t="s">
        <v>141</v>
      </c>
      <c r="V23">
        <v>4192.5153099999998</v>
      </c>
      <c r="W23">
        <v>0.64829000000000003</v>
      </c>
      <c r="Y23">
        <v>4309</v>
      </c>
      <c r="Z23">
        <v>0.66630999999999996</v>
      </c>
    </row>
    <row r="24" spans="2:42" x14ac:dyDescent="0.3">
      <c r="B24" s="60"/>
      <c r="C24" s="68"/>
      <c r="D24" s="68"/>
      <c r="E24" s="68"/>
      <c r="F24" s="68"/>
      <c r="H24" s="68"/>
      <c r="I24" s="68"/>
      <c r="J24">
        <v>89</v>
      </c>
      <c r="K24">
        <v>-23502.489000000001</v>
      </c>
      <c r="L24">
        <v>47874.906000000003</v>
      </c>
      <c r="M24">
        <v>47785.906000000003</v>
      </c>
      <c r="N24">
        <v>47503.087</v>
      </c>
      <c r="O24">
        <v>5.8000000000000003E-2</v>
      </c>
      <c r="P24">
        <f>ROUND(MAX(P12:X12),3)</f>
        <v>0.245</v>
      </c>
      <c r="Q24">
        <f>ROUND(MIN(P12:X12),3)</f>
        <v>1.7999999999999999E-2</v>
      </c>
      <c r="R24">
        <v>0.78600000000000003</v>
      </c>
      <c r="S24">
        <v>0</v>
      </c>
      <c r="T24" s="67">
        <f>E23</f>
        <v>0.85799999999999998</v>
      </c>
      <c r="U24" t="s">
        <v>154</v>
      </c>
      <c r="V24">
        <v>399.02546000000001</v>
      </c>
      <c r="W24">
        <v>6.1699999999999998E-2</v>
      </c>
      <c r="Y24">
        <v>232</v>
      </c>
      <c r="Z24">
        <v>3.5869999999999999E-2</v>
      </c>
    </row>
    <row r="25" spans="2:42" x14ac:dyDescent="0.3">
      <c r="B25" s="60"/>
      <c r="H25" s="68"/>
      <c r="I25" s="68"/>
      <c r="J25">
        <v>99</v>
      </c>
      <c r="K25" s="69">
        <v>-23488.303</v>
      </c>
      <c r="L25">
        <v>47944.279000000002</v>
      </c>
      <c r="M25">
        <v>47845.279000000002</v>
      </c>
      <c r="N25">
        <v>47530.682000000001</v>
      </c>
      <c r="O25">
        <v>0.1134</v>
      </c>
      <c r="P25">
        <f>ROUND(MAX(P13:Y13),3)</f>
        <v>0.42899999999999999</v>
      </c>
      <c r="Q25">
        <f>ROUND(MIN(P13:Y13),3)</f>
        <v>1.6E-2</v>
      </c>
      <c r="R25">
        <v>0.80600000000000005</v>
      </c>
      <c r="S25">
        <v>0</v>
      </c>
    </row>
    <row r="26" spans="2:42" x14ac:dyDescent="0.3">
      <c r="B26" s="60"/>
      <c r="H26" s="68"/>
      <c r="I26" s="68"/>
    </row>
    <row r="27" spans="2:42" x14ac:dyDescent="0.3">
      <c r="B27" s="60"/>
      <c r="H27" s="68"/>
      <c r="I27" s="68"/>
    </row>
    <row r="29" spans="2:42" x14ac:dyDescent="0.3">
      <c r="D29" t="s">
        <v>33</v>
      </c>
      <c r="J29">
        <v>1875.4592299999999</v>
      </c>
      <c r="K29">
        <v>0.28999999999999998</v>
      </c>
      <c r="N29" t="s">
        <v>54</v>
      </c>
      <c r="P29">
        <v>4192.5153099999998</v>
      </c>
      <c r="Q29">
        <v>0.64829000000000003</v>
      </c>
      <c r="S29" t="s">
        <v>55</v>
      </c>
      <c r="U29">
        <v>399.02546000000001</v>
      </c>
      <c r="V29">
        <v>6.1699999999999998E-2</v>
      </c>
    </row>
    <row r="30" spans="2:42" x14ac:dyDescent="0.3">
      <c r="I30" t="s">
        <v>73</v>
      </c>
      <c r="N30" t="s">
        <v>74</v>
      </c>
      <c r="S30" t="s">
        <v>154</v>
      </c>
    </row>
    <row r="31" spans="2:42" ht="15.6" x14ac:dyDescent="0.3">
      <c r="C31" s="62"/>
      <c r="D31" t="s">
        <v>32</v>
      </c>
      <c r="E31" s="62" t="s">
        <v>34</v>
      </c>
      <c r="H31" t="s">
        <v>53</v>
      </c>
      <c r="I31" s="59" t="s">
        <v>49</v>
      </c>
      <c r="J31" s="59" t="s">
        <v>50</v>
      </c>
      <c r="K31" s="59" t="s">
        <v>51</v>
      </c>
      <c r="L31" s="59" t="s">
        <v>52</v>
      </c>
      <c r="N31" s="59" t="s">
        <v>49</v>
      </c>
      <c r="O31" s="59" t="s">
        <v>50</v>
      </c>
      <c r="P31" s="59" t="s">
        <v>51</v>
      </c>
      <c r="Q31" s="59" t="s">
        <v>52</v>
      </c>
      <c r="S31" s="59" t="s">
        <v>49</v>
      </c>
      <c r="T31" s="59" t="s">
        <v>50</v>
      </c>
      <c r="U31" s="59" t="s">
        <v>51</v>
      </c>
      <c r="V31" s="59" t="s">
        <v>52</v>
      </c>
      <c r="X31" s="59"/>
      <c r="Y31" s="59"/>
      <c r="Z31" s="59"/>
      <c r="AA31" s="59"/>
      <c r="AC31" s="59"/>
      <c r="AD31" s="59"/>
      <c r="AE31" s="59"/>
      <c r="AF31" s="59"/>
      <c r="AH31" s="59"/>
      <c r="AI31" s="59"/>
      <c r="AJ31" s="59"/>
      <c r="AK31" s="59"/>
      <c r="AM31" s="59"/>
      <c r="AN31" s="59"/>
      <c r="AO31" s="59"/>
      <c r="AP31" s="59"/>
    </row>
    <row r="32" spans="2:42" ht="15.6" x14ac:dyDescent="0.3">
      <c r="E32" s="65" t="s">
        <v>39</v>
      </c>
      <c r="H32">
        <v>1</v>
      </c>
      <c r="I32">
        <v>0.95599999999999996</v>
      </c>
      <c r="J32">
        <v>1.0999999999999999E-2</v>
      </c>
      <c r="K32">
        <v>84.308000000000007</v>
      </c>
      <c r="L32">
        <v>0</v>
      </c>
      <c r="N32">
        <v>0.86199999999999999</v>
      </c>
      <c r="O32">
        <v>8.9999999999999993E-3</v>
      </c>
      <c r="P32">
        <v>100.121</v>
      </c>
      <c r="Q32">
        <v>0</v>
      </c>
      <c r="S32">
        <v>0.63900000000000001</v>
      </c>
      <c r="T32">
        <v>3.7999999999999999E-2</v>
      </c>
      <c r="U32">
        <v>16.949000000000002</v>
      </c>
      <c r="V32">
        <v>0</v>
      </c>
    </row>
    <row r="33" spans="3:22" ht="15.6" x14ac:dyDescent="0.3">
      <c r="E33" s="65" t="s">
        <v>57</v>
      </c>
      <c r="H33">
        <v>2</v>
      </c>
      <c r="I33">
        <v>4.3999999999999997E-2</v>
      </c>
      <c r="J33">
        <v>1.0999999999999999E-2</v>
      </c>
      <c r="K33">
        <v>3.859</v>
      </c>
      <c r="L33">
        <v>0</v>
      </c>
      <c r="N33">
        <v>0.13800000000000001</v>
      </c>
      <c r="O33">
        <v>8.9999999999999993E-3</v>
      </c>
      <c r="P33">
        <v>16.067</v>
      </c>
      <c r="Q33">
        <v>0</v>
      </c>
      <c r="S33">
        <v>0.36099999999999999</v>
      </c>
      <c r="T33">
        <v>3.7999999999999999E-2</v>
      </c>
      <c r="U33">
        <v>9.5860000000000003</v>
      </c>
      <c r="V33">
        <v>0</v>
      </c>
    </row>
    <row r="34" spans="3:22" ht="15.6" x14ac:dyDescent="0.3">
      <c r="E34" s="64" t="s">
        <v>35</v>
      </c>
    </row>
    <row r="35" spans="3:22" ht="15.6" x14ac:dyDescent="0.3">
      <c r="E35" s="65" t="s">
        <v>39</v>
      </c>
      <c r="H35">
        <v>1</v>
      </c>
      <c r="I35">
        <v>0.77900000000000003</v>
      </c>
      <c r="J35">
        <v>1.2E-2</v>
      </c>
      <c r="K35">
        <v>62.911999999999999</v>
      </c>
      <c r="L35">
        <v>0</v>
      </c>
      <c r="N35">
        <v>0.90400000000000003</v>
      </c>
      <c r="O35">
        <v>6.0000000000000001E-3</v>
      </c>
      <c r="P35">
        <v>160.202</v>
      </c>
      <c r="Q35">
        <v>0</v>
      </c>
      <c r="S35">
        <v>0.91700000000000004</v>
      </c>
      <c r="T35">
        <v>3.9E-2</v>
      </c>
      <c r="U35">
        <v>23.367999999999999</v>
      </c>
      <c r="V35">
        <v>0</v>
      </c>
    </row>
    <row r="36" spans="3:22" ht="15.6" x14ac:dyDescent="0.3">
      <c r="E36" s="65" t="s">
        <v>58</v>
      </c>
      <c r="H36">
        <v>2</v>
      </c>
      <c r="I36">
        <v>0.221</v>
      </c>
      <c r="J36">
        <v>1.2E-2</v>
      </c>
      <c r="K36">
        <v>17.885000000000002</v>
      </c>
      <c r="L36">
        <v>0</v>
      </c>
      <c r="N36">
        <v>9.6000000000000002E-2</v>
      </c>
      <c r="O36">
        <v>6.0000000000000001E-3</v>
      </c>
      <c r="P36">
        <v>17.033999999999999</v>
      </c>
      <c r="Q36">
        <v>0</v>
      </c>
      <c r="S36">
        <v>8.3000000000000004E-2</v>
      </c>
      <c r="T36">
        <v>3.9E-2</v>
      </c>
      <c r="U36">
        <v>2.1019999999999999</v>
      </c>
      <c r="V36">
        <v>3.5999999999999997E-2</v>
      </c>
    </row>
    <row r="37" spans="3:22" ht="15.6" x14ac:dyDescent="0.3">
      <c r="C37" s="62"/>
      <c r="D37" s="62"/>
      <c r="E37" s="62" t="s">
        <v>40</v>
      </c>
    </row>
    <row r="38" spans="3:22" ht="15.6" x14ac:dyDescent="0.3">
      <c r="E38" s="63" t="s">
        <v>39</v>
      </c>
      <c r="H38">
        <v>1</v>
      </c>
      <c r="I38">
        <v>0.873</v>
      </c>
      <c r="J38">
        <v>8.0000000000000002E-3</v>
      </c>
      <c r="K38">
        <v>108.354</v>
      </c>
      <c r="L38">
        <v>0</v>
      </c>
      <c r="N38">
        <v>0.85599999999999998</v>
      </c>
      <c r="O38">
        <v>6.0000000000000001E-3</v>
      </c>
      <c r="P38">
        <v>143.298</v>
      </c>
      <c r="Q38">
        <v>0</v>
      </c>
      <c r="S38">
        <v>0.94299999999999995</v>
      </c>
      <c r="T38">
        <v>4.1000000000000002E-2</v>
      </c>
      <c r="U38">
        <v>23.042000000000002</v>
      </c>
      <c r="V38">
        <v>0</v>
      </c>
    </row>
    <row r="39" spans="3:22" ht="15.6" x14ac:dyDescent="0.3">
      <c r="E39" s="65" t="s">
        <v>59</v>
      </c>
      <c r="H39">
        <v>2</v>
      </c>
      <c r="I39">
        <v>0.127</v>
      </c>
      <c r="J39">
        <v>8.0000000000000002E-3</v>
      </c>
      <c r="K39">
        <v>15.788</v>
      </c>
      <c r="L39">
        <v>0</v>
      </c>
      <c r="N39">
        <v>0.14399999999999999</v>
      </c>
      <c r="O39">
        <v>6.0000000000000001E-3</v>
      </c>
      <c r="P39">
        <v>24.111000000000001</v>
      </c>
      <c r="Q39">
        <v>0</v>
      </c>
      <c r="S39">
        <v>5.7000000000000002E-2</v>
      </c>
      <c r="T39">
        <v>4.1000000000000002E-2</v>
      </c>
      <c r="U39">
        <v>1.387</v>
      </c>
      <c r="V39">
        <v>0.16500000000000001</v>
      </c>
    </row>
    <row r="40" spans="3:22" ht="15.6" x14ac:dyDescent="0.3">
      <c r="E40" s="62" t="s">
        <v>41</v>
      </c>
    </row>
    <row r="41" spans="3:22" ht="15.6" x14ac:dyDescent="0.3">
      <c r="C41" s="63"/>
      <c r="E41" t="s">
        <v>42</v>
      </c>
      <c r="H41">
        <v>1</v>
      </c>
      <c r="I41">
        <v>0.83799999999999997</v>
      </c>
      <c r="J41">
        <v>8.9999999999999993E-3</v>
      </c>
      <c r="K41">
        <v>95.481999999999999</v>
      </c>
      <c r="L41">
        <v>0</v>
      </c>
      <c r="N41">
        <v>0.83699999999999997</v>
      </c>
      <c r="O41">
        <v>6.0000000000000001E-3</v>
      </c>
      <c r="P41">
        <v>135.05699999999999</v>
      </c>
      <c r="Q41">
        <v>0</v>
      </c>
      <c r="S41">
        <v>0.84199999999999997</v>
      </c>
      <c r="T41">
        <v>3.5000000000000003E-2</v>
      </c>
      <c r="U41">
        <v>24.041</v>
      </c>
      <c r="V41">
        <v>0</v>
      </c>
    </row>
    <row r="42" spans="3:22" ht="15.6" x14ac:dyDescent="0.3">
      <c r="C42" s="63"/>
      <c r="E42" t="s">
        <v>60</v>
      </c>
      <c r="H42">
        <v>2</v>
      </c>
      <c r="I42">
        <v>0.16200000000000001</v>
      </c>
      <c r="J42">
        <v>8.9999999999999993E-3</v>
      </c>
      <c r="K42">
        <v>18.414000000000001</v>
      </c>
      <c r="L42">
        <v>0</v>
      </c>
      <c r="N42">
        <v>0.16300000000000001</v>
      </c>
      <c r="O42">
        <v>6.0000000000000001E-3</v>
      </c>
      <c r="P42">
        <v>26.276</v>
      </c>
      <c r="Q42">
        <v>0</v>
      </c>
      <c r="S42">
        <v>0.158</v>
      </c>
      <c r="T42">
        <v>3.5000000000000003E-2</v>
      </c>
      <c r="U42">
        <v>4.5039999999999996</v>
      </c>
      <c r="V42">
        <v>0</v>
      </c>
    </row>
    <row r="43" spans="3:22" ht="15.6" x14ac:dyDescent="0.3">
      <c r="E43" s="62" t="s">
        <v>43</v>
      </c>
    </row>
    <row r="44" spans="3:22" ht="15.6" x14ac:dyDescent="0.3">
      <c r="C44" s="63"/>
      <c r="E44" t="s">
        <v>44</v>
      </c>
      <c r="H44">
        <v>1</v>
      </c>
      <c r="I44">
        <v>0.48899999999999999</v>
      </c>
      <c r="J44">
        <v>1.7999999999999999E-2</v>
      </c>
      <c r="K44">
        <v>26.477</v>
      </c>
      <c r="L44">
        <v>0</v>
      </c>
      <c r="N44">
        <v>0.623</v>
      </c>
      <c r="O44">
        <v>1.0999999999999999E-2</v>
      </c>
      <c r="P44">
        <v>57.048000000000002</v>
      </c>
      <c r="Q44">
        <v>0</v>
      </c>
      <c r="S44">
        <v>0.90100000000000002</v>
      </c>
      <c r="T44">
        <v>3.6999999999999998E-2</v>
      </c>
      <c r="U44">
        <v>24.067</v>
      </c>
      <c r="V44">
        <v>0</v>
      </c>
    </row>
    <row r="45" spans="3:22" ht="15.6" x14ac:dyDescent="0.3">
      <c r="C45" s="63"/>
      <c r="E45" t="s">
        <v>61</v>
      </c>
      <c r="H45">
        <v>2</v>
      </c>
      <c r="I45">
        <v>0.51100000000000001</v>
      </c>
      <c r="J45">
        <v>1.7999999999999999E-2</v>
      </c>
      <c r="K45">
        <v>27.657</v>
      </c>
      <c r="L45">
        <v>0</v>
      </c>
      <c r="N45">
        <v>0.377</v>
      </c>
      <c r="O45">
        <v>1.0999999999999999E-2</v>
      </c>
      <c r="P45">
        <v>34.475000000000001</v>
      </c>
      <c r="Q45">
        <v>0</v>
      </c>
      <c r="S45">
        <v>9.9000000000000005E-2</v>
      </c>
      <c r="T45">
        <v>3.6999999999999998E-2</v>
      </c>
      <c r="U45">
        <v>2.6520000000000001</v>
      </c>
      <c r="V45">
        <v>8.0000000000000002E-3</v>
      </c>
    </row>
    <row r="46" spans="3:22" ht="15.6" x14ac:dyDescent="0.3">
      <c r="C46" s="62"/>
      <c r="E46" s="62" t="s">
        <v>45</v>
      </c>
    </row>
    <row r="47" spans="3:22" ht="15.6" x14ac:dyDescent="0.3">
      <c r="C47" s="63"/>
      <c r="E47" t="s">
        <v>46</v>
      </c>
      <c r="H47">
        <v>1</v>
      </c>
      <c r="I47">
        <v>1</v>
      </c>
      <c r="J47">
        <v>0</v>
      </c>
      <c r="K47">
        <v>0</v>
      </c>
      <c r="L47">
        <v>1</v>
      </c>
      <c r="N47">
        <v>0.19700000000000001</v>
      </c>
      <c r="O47">
        <v>2.9000000000000001E-2</v>
      </c>
      <c r="P47">
        <v>6.8840000000000003</v>
      </c>
      <c r="Q47">
        <v>0</v>
      </c>
      <c r="S47">
        <v>1</v>
      </c>
      <c r="T47">
        <v>0</v>
      </c>
      <c r="U47">
        <v>0</v>
      </c>
      <c r="V47">
        <v>1</v>
      </c>
    </row>
    <row r="48" spans="3:22" ht="15.6" x14ac:dyDescent="0.3">
      <c r="C48" s="63"/>
      <c r="E48" t="s">
        <v>63</v>
      </c>
      <c r="H48">
        <v>2</v>
      </c>
      <c r="I48">
        <v>0</v>
      </c>
      <c r="J48">
        <v>0</v>
      </c>
      <c r="K48">
        <v>0</v>
      </c>
      <c r="L48">
        <v>1</v>
      </c>
      <c r="N48">
        <v>0.80300000000000005</v>
      </c>
      <c r="O48">
        <v>2.9000000000000001E-2</v>
      </c>
      <c r="P48">
        <v>27.992000000000001</v>
      </c>
      <c r="Q48">
        <v>0</v>
      </c>
      <c r="S48">
        <v>0</v>
      </c>
      <c r="T48">
        <v>0</v>
      </c>
      <c r="U48">
        <v>0</v>
      </c>
      <c r="V48">
        <v>1</v>
      </c>
    </row>
    <row r="49" spans="3:22" ht="15.6" x14ac:dyDescent="0.3">
      <c r="C49" s="63"/>
      <c r="E49" s="62" t="s">
        <v>45</v>
      </c>
    </row>
    <row r="50" spans="3:22" x14ac:dyDescent="0.3">
      <c r="C50" s="66"/>
      <c r="E50" t="s">
        <v>47</v>
      </c>
      <c r="H50">
        <v>1</v>
      </c>
      <c r="I50">
        <v>0</v>
      </c>
      <c r="J50">
        <v>0</v>
      </c>
      <c r="K50">
        <v>0</v>
      </c>
      <c r="L50">
        <v>1</v>
      </c>
      <c r="N50">
        <v>1</v>
      </c>
      <c r="O50">
        <v>0</v>
      </c>
      <c r="P50">
        <v>0</v>
      </c>
      <c r="Q50">
        <v>1</v>
      </c>
      <c r="S50">
        <v>0.84099999999999997</v>
      </c>
      <c r="T50">
        <v>8.4000000000000005E-2</v>
      </c>
      <c r="U50">
        <v>10.066000000000001</v>
      </c>
      <c r="V50">
        <v>0</v>
      </c>
    </row>
    <row r="51" spans="3:22" x14ac:dyDescent="0.3">
      <c r="E51" t="s">
        <v>62</v>
      </c>
      <c r="H51">
        <v>2</v>
      </c>
      <c r="I51">
        <v>1</v>
      </c>
      <c r="J51">
        <v>0</v>
      </c>
      <c r="K51">
        <v>0</v>
      </c>
      <c r="L51">
        <v>1</v>
      </c>
      <c r="N51">
        <v>0</v>
      </c>
      <c r="O51">
        <v>0</v>
      </c>
      <c r="P51">
        <v>0</v>
      </c>
      <c r="Q51">
        <v>1</v>
      </c>
      <c r="S51">
        <v>0.159</v>
      </c>
      <c r="T51">
        <v>8.4000000000000005E-2</v>
      </c>
      <c r="U51">
        <v>1.9059999999999999</v>
      </c>
      <c r="V51">
        <v>5.7000000000000002E-2</v>
      </c>
    </row>
    <row r="52" spans="3:22" ht="15.6" x14ac:dyDescent="0.3">
      <c r="E52" s="62" t="s">
        <v>36</v>
      </c>
    </row>
    <row r="53" spans="3:22" x14ac:dyDescent="0.3">
      <c r="E53" t="s">
        <v>37</v>
      </c>
      <c r="H53">
        <v>1</v>
      </c>
      <c r="I53">
        <v>0.94899999999999995</v>
      </c>
      <c r="J53">
        <v>8.0000000000000002E-3</v>
      </c>
      <c r="K53">
        <v>124.24</v>
      </c>
      <c r="L53">
        <v>0</v>
      </c>
      <c r="N53">
        <v>0.94799999999999995</v>
      </c>
      <c r="O53">
        <v>4.0000000000000001E-3</v>
      </c>
      <c r="P53">
        <v>246.505</v>
      </c>
      <c r="Q53">
        <v>0</v>
      </c>
      <c r="S53">
        <v>0.42399999999999999</v>
      </c>
      <c r="T53">
        <v>0.254</v>
      </c>
      <c r="U53">
        <v>1.669</v>
      </c>
      <c r="V53">
        <v>9.5000000000000001E-2</v>
      </c>
    </row>
    <row r="54" spans="3:22" x14ac:dyDescent="0.3">
      <c r="E54" t="s">
        <v>38</v>
      </c>
      <c r="H54">
        <v>2</v>
      </c>
      <c r="I54">
        <v>5.0999999999999997E-2</v>
      </c>
      <c r="J54">
        <v>8.0000000000000002E-3</v>
      </c>
      <c r="K54">
        <v>6.6139999999999999</v>
      </c>
      <c r="L54">
        <v>0</v>
      </c>
      <c r="N54">
        <v>5.1999999999999998E-2</v>
      </c>
      <c r="O54">
        <v>4.0000000000000001E-3</v>
      </c>
      <c r="P54">
        <v>13.484999999999999</v>
      </c>
      <c r="Q54">
        <v>0</v>
      </c>
      <c r="S54">
        <v>0.57599999999999996</v>
      </c>
      <c r="T54">
        <v>0.254</v>
      </c>
      <c r="U54">
        <v>2.2639999999999998</v>
      </c>
      <c r="V54">
        <v>2.4E-2</v>
      </c>
    </row>
    <row r="55" spans="3:22" x14ac:dyDescent="0.3">
      <c r="E55" s="66" t="s">
        <v>48</v>
      </c>
    </row>
    <row r="56" spans="3:22" x14ac:dyDescent="0.3">
      <c r="E56" t="s">
        <v>64</v>
      </c>
      <c r="H56">
        <v>1</v>
      </c>
      <c r="I56">
        <v>0.92200000000000004</v>
      </c>
      <c r="J56">
        <v>7.0000000000000001E-3</v>
      </c>
      <c r="K56">
        <v>131.83199999999999</v>
      </c>
      <c r="L56">
        <v>0</v>
      </c>
      <c r="N56">
        <v>0.96499999999999997</v>
      </c>
      <c r="O56">
        <v>3.0000000000000001E-3</v>
      </c>
      <c r="P56">
        <v>298.12099999999998</v>
      </c>
      <c r="Q56">
        <v>0</v>
      </c>
      <c r="S56">
        <v>0.878</v>
      </c>
      <c r="T56">
        <v>5.1999999999999998E-2</v>
      </c>
      <c r="U56">
        <v>16.957000000000001</v>
      </c>
      <c r="V56">
        <v>0</v>
      </c>
    </row>
    <row r="57" spans="3:22" x14ac:dyDescent="0.3">
      <c r="E57" t="s">
        <v>65</v>
      </c>
      <c r="H57">
        <v>2</v>
      </c>
      <c r="I57">
        <v>7.8E-2</v>
      </c>
      <c r="J57">
        <v>7.0000000000000001E-3</v>
      </c>
      <c r="K57">
        <v>11.101000000000001</v>
      </c>
      <c r="L57">
        <v>0</v>
      </c>
      <c r="N57">
        <v>3.5000000000000003E-2</v>
      </c>
      <c r="O57">
        <v>3.0000000000000001E-3</v>
      </c>
      <c r="P57">
        <v>10.792999999999999</v>
      </c>
      <c r="Q57">
        <v>0</v>
      </c>
      <c r="S57">
        <v>0.122</v>
      </c>
      <c r="T57">
        <v>5.1999999999999998E-2</v>
      </c>
      <c r="U57">
        <v>2.3660000000000001</v>
      </c>
      <c r="V57">
        <v>1.7999999999999999E-2</v>
      </c>
    </row>
    <row r="58" spans="3:22" x14ac:dyDescent="0.3">
      <c r="E58" s="66"/>
    </row>
    <row r="71" spans="24:27" x14ac:dyDescent="0.3">
      <c r="X71" t="s">
        <v>203</v>
      </c>
      <c r="Y71" t="s">
        <v>69</v>
      </c>
      <c r="Z71" t="s">
        <v>36</v>
      </c>
      <c r="AA71" t="s">
        <v>48</v>
      </c>
    </row>
    <row r="77" spans="24:27" x14ac:dyDescent="0.3">
      <c r="X77" t="s">
        <v>106</v>
      </c>
      <c r="Y77" t="s">
        <v>204</v>
      </c>
    </row>
    <row r="78" spans="24:27" x14ac:dyDescent="0.3">
      <c r="X78" t="s">
        <v>205</v>
      </c>
      <c r="Y78" t="s">
        <v>99</v>
      </c>
    </row>
    <row r="79" spans="24:27" x14ac:dyDescent="0.3">
      <c r="X79" t="s">
        <v>206</v>
      </c>
      <c r="Y79" t="s">
        <v>101</v>
      </c>
    </row>
    <row r="85" spans="14:14" x14ac:dyDescent="0.3">
      <c r="N85" t="s">
        <v>202</v>
      </c>
    </row>
    <row r="100" spans="2:12" x14ac:dyDescent="0.3">
      <c r="E100" t="s">
        <v>146</v>
      </c>
      <c r="H100" t="s">
        <v>201</v>
      </c>
    </row>
    <row r="101" spans="2:12" x14ac:dyDescent="0.3">
      <c r="C101">
        <v>0.97299999999999998</v>
      </c>
      <c r="D101" t="s">
        <v>133</v>
      </c>
      <c r="E101">
        <v>1875.4592299999999</v>
      </c>
      <c r="F101">
        <v>0.28999999999999998</v>
      </c>
      <c r="H101">
        <v>1926</v>
      </c>
      <c r="I101">
        <v>0.29781999999999997</v>
      </c>
    </row>
    <row r="102" spans="2:12" x14ac:dyDescent="0.3">
      <c r="C102">
        <v>0.96599999999999997</v>
      </c>
      <c r="D102" t="s">
        <v>141</v>
      </c>
      <c r="E102">
        <v>4192.5153099999998</v>
      </c>
      <c r="F102">
        <v>0.64829000000000003</v>
      </c>
      <c r="H102">
        <v>4309</v>
      </c>
      <c r="I102">
        <v>0.66630999999999996</v>
      </c>
    </row>
    <row r="103" spans="2:12" x14ac:dyDescent="0.3">
      <c r="C103">
        <v>0.85799999999999998</v>
      </c>
      <c r="D103" t="s">
        <v>154</v>
      </c>
      <c r="E103">
        <v>399.02546000000001</v>
      </c>
      <c r="F103">
        <v>6.1699999999999998E-2</v>
      </c>
      <c r="H103">
        <v>232</v>
      </c>
      <c r="I103">
        <v>3.5869999999999999E-2</v>
      </c>
    </row>
    <row r="105" spans="2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2:12" x14ac:dyDescent="0.3">
      <c r="B106" t="s">
        <v>133</v>
      </c>
      <c r="C106">
        <v>1</v>
      </c>
      <c r="D106">
        <f>ROUND(F101,3)</f>
        <v>0.28999999999999998</v>
      </c>
      <c r="E106">
        <f>ROUND(I101,3)</f>
        <v>0.29799999999999999</v>
      </c>
      <c r="F106">
        <f>ROUND(C101,3)</f>
        <v>0.97299999999999998</v>
      </c>
      <c r="G106">
        <f>ROUND((F106/(1-F106))/(D106/(1-D106)),3)</f>
        <v>88.228999999999999</v>
      </c>
      <c r="H106">
        <f>ROUND(H101/$L$106,3)</f>
        <v>66.414000000000001</v>
      </c>
      <c r="L106">
        <f>C6</f>
        <v>29</v>
      </c>
    </row>
    <row r="107" spans="2:12" x14ac:dyDescent="0.3">
      <c r="B107" t="s">
        <v>67</v>
      </c>
      <c r="C107">
        <v>2</v>
      </c>
      <c r="D107">
        <f t="shared" ref="D107:D108" si="0">ROUND(F102,3)</f>
        <v>0.64800000000000002</v>
      </c>
      <c r="E107">
        <f t="shared" ref="E107:E108" si="1">ROUND(I102,3)</f>
        <v>0.66600000000000004</v>
      </c>
      <c r="F107">
        <f t="shared" ref="F107:F108" si="2">ROUND(C102,3)</f>
        <v>0.96599999999999997</v>
      </c>
      <c r="G107">
        <f>ROUND((F107/(1-F107))/(D107/(1-D107)),3)</f>
        <v>15.433999999999999</v>
      </c>
      <c r="H107">
        <f>ROUND(H102/$L$106,3)</f>
        <v>148.58600000000001</v>
      </c>
    </row>
    <row r="108" spans="2:12" x14ac:dyDescent="0.3">
      <c r="B108" t="s">
        <v>145</v>
      </c>
      <c r="C108">
        <v>3</v>
      </c>
      <c r="D108">
        <f t="shared" si="0"/>
        <v>6.2E-2</v>
      </c>
      <c r="E108">
        <f t="shared" si="1"/>
        <v>3.5999999999999997E-2</v>
      </c>
      <c r="F108">
        <f t="shared" si="2"/>
        <v>0.85799999999999998</v>
      </c>
      <c r="G108">
        <f>ROUND((F108/(1-F108))/(D108/(1-D108)),3)</f>
        <v>91.412999999999997</v>
      </c>
      <c r="H108">
        <f>ROUND(H103/$L$106,3)</f>
        <v>8</v>
      </c>
    </row>
    <row r="110" spans="2:12" x14ac:dyDescent="0.3">
      <c r="C110" t="str">
        <f>C106&amp;"&amp;"&amp;D101&amp;"&amp;"&amp;D106&amp;"&amp;"&amp;E106&amp;"&amp;"&amp;F106&amp;"&amp;"&amp;G106&amp;"&amp;"&amp;H106</f>
        <v>1&amp;Indiff&amp;0,29&amp;0,298&amp;0,973&amp;88,229&amp;66,414</v>
      </c>
    </row>
    <row r="111" spans="2:12" x14ac:dyDescent="0.3">
      <c r="C111" t="str">
        <f>C107&amp;"&amp;"&amp;D102&amp;"&amp;"&amp;D107&amp;"&amp;"&amp;E107&amp;"&amp;"&amp;F107&amp;"&amp;"&amp;G107&amp;"&amp;"&amp;H107</f>
        <v>2&amp;Opti&amp;0,648&amp;0,666&amp;0,966&amp;15,434&amp;148,586</v>
      </c>
    </row>
    <row r="112" spans="2:12" x14ac:dyDescent="0.3">
      <c r="C112" t="str">
        <f>C108&amp;"&amp;"&amp;D103&amp;"&amp;"&amp;D108&amp;"&amp;"&amp;E108&amp;"&amp;"&amp;F108&amp;"&amp;"&amp;G108&amp;"&amp;"&amp;H108</f>
        <v>3&amp;Complex&amp;0,062&amp;0,036&amp;0,858&amp;91,413&amp;8</v>
      </c>
    </row>
    <row r="116" spans="3:3" x14ac:dyDescent="0.3">
      <c r="C116" t="s">
        <v>207</v>
      </c>
    </row>
    <row r="117" spans="3:3" x14ac:dyDescent="0.3">
      <c r="C117" t="s">
        <v>208</v>
      </c>
    </row>
    <row r="118" spans="3:3" x14ac:dyDescent="0.3">
      <c r="C118" t="s">
        <v>214</v>
      </c>
    </row>
  </sheetData>
  <autoFilter ref="A3:W9" xr:uid="{00000000-0009-0000-0000-000002000000}"/>
  <conditionalFormatting sqref="C21 D22 E23">
    <cfRule type="cellIs" dxfId="28" priority="17" operator="lessThan">
      <formula>0.8</formula>
    </cfRule>
    <cfRule type="cellIs" dxfId="27" priority="18" operator="equal">
      <formula>1</formula>
    </cfRule>
    <cfRule type="cellIs" dxfId="26" priority="19" operator="between">
      <formula>0.8</formula>
      <formula>0.85</formula>
    </cfRule>
    <cfRule type="cellIs" dxfId="25" priority="20" operator="greaterThanOrEqual">
      <formula>0.85</formula>
    </cfRule>
  </conditionalFormatting>
  <conditionalFormatting sqref="C31 C37:D37 C41:C42 C44:C51">
    <cfRule type="containsBlanks" priority="16" stopIfTrue="1">
      <formula>LEN(TRIM(C31))=0</formula>
    </cfRule>
  </conditionalFormatting>
  <conditionalFormatting sqref="E31:E40">
    <cfRule type="containsBlanks" priority="14" stopIfTrue="1">
      <formula>LEN(TRIM(E31))=0</formula>
    </cfRule>
  </conditionalFormatting>
  <conditionalFormatting sqref="E43">
    <cfRule type="containsBlanks" priority="15" stopIfTrue="1">
      <formula>LEN(TRIM(E43))=0</formula>
    </cfRule>
  </conditionalFormatting>
  <conditionalFormatting sqref="E46">
    <cfRule type="containsBlanks" priority="13" stopIfTrue="1">
      <formula>LEN(TRIM(E46))=0</formula>
    </cfRule>
  </conditionalFormatting>
  <conditionalFormatting sqref="E49">
    <cfRule type="containsBlanks" priority="12" stopIfTrue="1">
      <formula>LEN(TRIM(E49))=0</formula>
    </cfRule>
  </conditionalFormatting>
  <conditionalFormatting sqref="E52">
    <cfRule type="containsBlanks" priority="9" stopIfTrue="1">
      <formula>LEN(TRIM(E52))=0</formula>
    </cfRule>
  </conditionalFormatting>
  <conditionalFormatting sqref="E55:E59">
    <cfRule type="containsBlanks" priority="8" stopIfTrue="1">
      <formula>LEN(TRIM(E55))=0</formula>
    </cfRule>
  </conditionalFormatting>
  <conditionalFormatting sqref="H4:H1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">
    <cfRule type="duplicateValues" dxfId="24" priority="4"/>
  </conditionalFormatting>
  <conditionalFormatting sqref="H4:J15">
    <cfRule type="duplicateValues" dxfId="23" priority="1"/>
  </conditionalFormatting>
  <conditionalFormatting sqref="I4:I1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">
    <cfRule type="duplicateValues" dxfId="22" priority="3"/>
  </conditionalFormatting>
  <conditionalFormatting sqref="J4:J1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">
    <cfRule type="duplicateValues" dxfId="21" priority="2"/>
  </conditionalFormatting>
  <conditionalFormatting sqref="O5:O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3">
    <cfRule type="cellIs" dxfId="20" priority="27" stopIfTrue="1" operator="between">
      <formula>0</formula>
      <formula>0.05</formula>
    </cfRule>
  </conditionalFormatting>
  <conditionalFormatting sqref="Q5:Q13">
    <cfRule type="cellIs" dxfId="19" priority="28" stopIfTrue="1" operator="between">
      <formula>0</formula>
      <formula>0.05</formula>
    </cfRule>
  </conditionalFormatting>
  <conditionalFormatting sqref="R6:R13">
    <cfRule type="cellIs" dxfId="18" priority="29" stopIfTrue="1" operator="between">
      <formula>0</formula>
      <formula>0.05</formula>
    </cfRule>
  </conditionalFormatting>
  <conditionalFormatting sqref="S7:S13">
    <cfRule type="cellIs" dxfId="17" priority="30" stopIfTrue="1" operator="between">
      <formula>0</formula>
      <formula>0.05</formula>
    </cfRule>
  </conditionalFormatting>
  <conditionalFormatting sqref="T8:T13">
    <cfRule type="cellIs" dxfId="16" priority="31" stopIfTrue="1" operator="between">
      <formula>0</formula>
      <formula>0.05</formula>
    </cfRule>
  </conditionalFormatting>
  <conditionalFormatting sqref="V10:V13 W11:W13 X12:X13 Y13 U9:U13">
    <cfRule type="cellIs" dxfId="15" priority="32" stopIfTrue="1" operator="between">
      <formula>0</formula>
      <formula>0.05</formula>
    </cfRule>
  </conditionalFormatting>
  <conditionalFormatting sqref="V10:V13 W11:W13 X12:X13 Y13">
    <cfRule type="cellIs" priority="7" operator="lessThan">
      <formula>0.05</formula>
    </cfRule>
  </conditionalFormatting>
  <conditionalFormatting sqref="Z4:Z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118"/>
  <sheetViews>
    <sheetView zoomScaleNormal="100" workbookViewId="0">
      <pane xSplit="1" ySplit="1" topLeftCell="N54" activePane="bottomRight" state="frozen"/>
      <selection pane="topRight"/>
      <selection pane="bottomLeft"/>
      <selection pane="bottomRight" activeCell="Q19" sqref="Q19"/>
    </sheetView>
  </sheetViews>
  <sheetFormatPr defaultColWidth="11.5546875" defaultRowHeight="14.4" x14ac:dyDescent="0.3"/>
  <cols>
    <col min="18" max="18" width="22.5546875" customWidth="1"/>
  </cols>
  <sheetData>
    <row r="1" spans="1:27" ht="17.399999999999999" x14ac:dyDescent="0.35">
      <c r="A1" s="32" t="s">
        <v>25</v>
      </c>
    </row>
    <row r="3" spans="1:2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116</v>
      </c>
      <c r="W3" t="s">
        <v>117</v>
      </c>
      <c r="X3" t="s">
        <v>118</v>
      </c>
      <c r="Y3" t="s">
        <v>119</v>
      </c>
      <c r="Z3" t="s">
        <v>21</v>
      </c>
      <c r="AA3" t="s">
        <v>22</v>
      </c>
    </row>
    <row r="4" spans="1:27" x14ac:dyDescent="0.3">
      <c r="A4">
        <v>1</v>
      </c>
      <c r="B4" s="70" t="s">
        <v>23</v>
      </c>
      <c r="C4">
        <v>7</v>
      </c>
      <c r="D4">
        <v>-40612.074999999997</v>
      </c>
      <c r="E4">
        <v>1.0822000000000001</v>
      </c>
      <c r="F4" t="s">
        <v>23</v>
      </c>
      <c r="G4">
        <v>81238.149999999994</v>
      </c>
      <c r="H4" s="3">
        <v>81296.001000000004</v>
      </c>
      <c r="I4" s="3">
        <v>81289.001000000004</v>
      </c>
      <c r="J4" s="3">
        <v>81266.755999999994</v>
      </c>
      <c r="K4">
        <v>9586.18</v>
      </c>
      <c r="L4">
        <v>8569.0689999999995</v>
      </c>
      <c r="P4">
        <v>1</v>
      </c>
      <c r="Z4">
        <v>8282.2569999999996</v>
      </c>
      <c r="AA4">
        <v>0</v>
      </c>
    </row>
    <row r="5" spans="1:27" x14ac:dyDescent="0.3">
      <c r="A5">
        <v>2</v>
      </c>
      <c r="B5" s="70" t="s">
        <v>23</v>
      </c>
      <c r="C5">
        <v>15</v>
      </c>
      <c r="D5">
        <v>-37212.714</v>
      </c>
      <c r="E5">
        <v>1.0510999999999999</v>
      </c>
      <c r="F5" t="s">
        <v>23</v>
      </c>
      <c r="G5">
        <v>74455.428</v>
      </c>
      <c r="H5" s="16">
        <v>74579.395000000004</v>
      </c>
      <c r="I5" s="16">
        <v>74564.395000000004</v>
      </c>
      <c r="J5" s="18">
        <v>74516.726999999999</v>
      </c>
      <c r="K5">
        <v>2403.5239999999999</v>
      </c>
      <c r="L5">
        <v>1923.7650000000001</v>
      </c>
      <c r="M5">
        <v>0</v>
      </c>
      <c r="N5">
        <v>0</v>
      </c>
      <c r="O5" s="2">
        <v>1</v>
      </c>
      <c r="P5">
        <v>0.28941</v>
      </c>
      <c r="Q5">
        <v>0.71059000000000005</v>
      </c>
      <c r="Z5">
        <v>1557.6510000000001</v>
      </c>
      <c r="AA5">
        <v>0</v>
      </c>
    </row>
    <row r="6" spans="1:27" x14ac:dyDescent="0.3">
      <c r="A6">
        <v>3</v>
      </c>
      <c r="B6" s="70" t="s">
        <v>23</v>
      </c>
      <c r="C6">
        <v>23</v>
      </c>
      <c r="D6">
        <v>-36779.226999999999</v>
      </c>
      <c r="E6">
        <v>1.0662</v>
      </c>
      <c r="F6" t="s">
        <v>23</v>
      </c>
      <c r="G6">
        <v>73604.455000000002</v>
      </c>
      <c r="H6" s="17">
        <v>73794.536999999997</v>
      </c>
      <c r="I6" s="17">
        <v>73771.536999999997</v>
      </c>
      <c r="J6" s="11">
        <v>73698.445999999996</v>
      </c>
      <c r="K6">
        <v>1247.673</v>
      </c>
      <c r="L6">
        <v>1082.1289999999999</v>
      </c>
      <c r="M6">
        <v>0</v>
      </c>
      <c r="N6">
        <v>0</v>
      </c>
      <c r="O6" s="10">
        <v>0.85299999999999998</v>
      </c>
      <c r="P6">
        <v>0.29187999999999997</v>
      </c>
      <c r="Q6">
        <v>0.11838</v>
      </c>
      <c r="R6">
        <v>0.58974000000000004</v>
      </c>
      <c r="Z6">
        <v>764.79299999999103</v>
      </c>
      <c r="AA6">
        <v>0</v>
      </c>
    </row>
    <row r="7" spans="1:27" x14ac:dyDescent="0.3">
      <c r="A7">
        <v>4</v>
      </c>
      <c r="B7" s="70" t="s">
        <v>23</v>
      </c>
      <c r="C7">
        <v>31</v>
      </c>
      <c r="D7">
        <v>-36575.821000000004</v>
      </c>
      <c r="E7">
        <v>1.0640000000000001</v>
      </c>
      <c r="F7" t="s">
        <v>23</v>
      </c>
      <c r="G7">
        <v>73213.641000000003</v>
      </c>
      <c r="H7" s="4">
        <v>73469.839000000007</v>
      </c>
      <c r="I7" s="12">
        <v>73438.839000000007</v>
      </c>
      <c r="J7" s="12">
        <v>73340.324999999997</v>
      </c>
      <c r="K7">
        <v>700.36</v>
      </c>
      <c r="L7">
        <v>684.54700000000003</v>
      </c>
      <c r="M7">
        <v>0</v>
      </c>
      <c r="N7">
        <v>0</v>
      </c>
      <c r="O7" s="10">
        <v>0.85699999999999998</v>
      </c>
      <c r="P7">
        <v>4.6449999999999998E-2</v>
      </c>
      <c r="Q7">
        <v>0.59094999999999998</v>
      </c>
      <c r="R7">
        <v>0.11964</v>
      </c>
      <c r="S7">
        <v>0.24296000000000001</v>
      </c>
      <c r="Z7">
        <v>432.09500000000099</v>
      </c>
      <c r="AA7">
        <v>0</v>
      </c>
    </row>
    <row r="8" spans="1:27" x14ac:dyDescent="0.3">
      <c r="A8">
        <v>5</v>
      </c>
      <c r="B8" s="70" t="s">
        <v>23</v>
      </c>
      <c r="C8">
        <v>39</v>
      </c>
      <c r="D8">
        <v>-36372.478999999999</v>
      </c>
      <c r="E8">
        <v>1.0681</v>
      </c>
      <c r="F8" t="s">
        <v>23</v>
      </c>
      <c r="G8">
        <v>72822.956999999995</v>
      </c>
      <c r="H8" s="5">
        <v>73145.270999999993</v>
      </c>
      <c r="I8" s="5">
        <v>73106.270999999993</v>
      </c>
      <c r="J8" s="7">
        <v>72982.334000000003</v>
      </c>
      <c r="K8">
        <v>268.26100000000002</v>
      </c>
      <c r="L8">
        <v>285.16699999999997</v>
      </c>
      <c r="M8">
        <v>0</v>
      </c>
      <c r="N8">
        <v>0</v>
      </c>
      <c r="O8" s="10">
        <v>0.82299999999999995</v>
      </c>
      <c r="P8">
        <v>0.11944</v>
      </c>
      <c r="Q8">
        <v>7.8149999999999997E-2</v>
      </c>
      <c r="R8">
        <v>0.24296000000000001</v>
      </c>
      <c r="S8">
        <v>0.51300000000000001</v>
      </c>
      <c r="T8">
        <v>4.6449999999999998E-2</v>
      </c>
      <c r="Z8">
        <v>99.526999999987297</v>
      </c>
      <c r="AA8">
        <v>0</v>
      </c>
    </row>
    <row r="9" spans="1:27" x14ac:dyDescent="0.3">
      <c r="A9">
        <v>6</v>
      </c>
      <c r="B9" s="70" t="s">
        <v>23</v>
      </c>
      <c r="C9">
        <v>47</v>
      </c>
      <c r="D9">
        <v>-36285.656999999999</v>
      </c>
      <c r="E9">
        <v>1.0541</v>
      </c>
      <c r="F9" t="s">
        <v>23</v>
      </c>
      <c r="G9">
        <v>72665.315000000002</v>
      </c>
      <c r="H9" s="6">
        <v>73053.744000000006</v>
      </c>
      <c r="I9" s="6">
        <v>73006.744000000006</v>
      </c>
      <c r="J9" s="6">
        <v>72857.384000000005</v>
      </c>
      <c r="K9">
        <v>104.944</v>
      </c>
      <c r="L9">
        <v>112.49299999999999</v>
      </c>
      <c r="M9">
        <v>0</v>
      </c>
      <c r="N9">
        <v>0</v>
      </c>
      <c r="O9" s="10">
        <v>0.81100000000000005</v>
      </c>
      <c r="P9">
        <v>0.49001</v>
      </c>
      <c r="Q9">
        <v>6.3799999999999996E-2</v>
      </c>
      <c r="R9">
        <v>3.8059999999999997E-2</v>
      </c>
      <c r="S9">
        <v>8.3510000000000001E-2</v>
      </c>
      <c r="T9">
        <v>0.12474</v>
      </c>
      <c r="U9">
        <v>0.19988</v>
      </c>
      <c r="Z9">
        <v>0</v>
      </c>
      <c r="AA9">
        <v>1</v>
      </c>
    </row>
    <row r="10" spans="1:27" x14ac:dyDescent="0.3">
      <c r="A10">
        <v>7</v>
      </c>
      <c r="B10" s="70" t="s">
        <v>23</v>
      </c>
      <c r="C10">
        <v>55</v>
      </c>
      <c r="D10">
        <v>-36272.233</v>
      </c>
      <c r="E10">
        <v>1.0568</v>
      </c>
      <c r="F10" t="s">
        <v>23</v>
      </c>
      <c r="G10">
        <v>72654.464999999997</v>
      </c>
      <c r="H10">
        <v>73109.009999999995</v>
      </c>
      <c r="I10">
        <v>73054.009999999995</v>
      </c>
      <c r="J10">
        <v>72879.228000000003</v>
      </c>
      <c r="K10">
        <v>80.454999999999998</v>
      </c>
      <c r="L10">
        <v>86.494</v>
      </c>
      <c r="M10">
        <v>3.32E-2</v>
      </c>
      <c r="N10">
        <v>3.4700000000000002E-2</v>
      </c>
      <c r="O10">
        <v>0.80600000000000005</v>
      </c>
      <c r="P10">
        <v>0.19847999999999999</v>
      </c>
      <c r="Q10">
        <v>9.7000000000000003E-2</v>
      </c>
      <c r="R10">
        <v>0.49724000000000002</v>
      </c>
      <c r="S10">
        <v>6.2269999999999999E-2</v>
      </c>
      <c r="T10">
        <v>3.8920000000000003E-2</v>
      </c>
      <c r="U10">
        <v>6.1839999999999999E-2</v>
      </c>
      <c r="V10">
        <v>4.4249999999999998E-2</v>
      </c>
      <c r="Z10">
        <v>47.265999999988701</v>
      </c>
      <c r="AA10">
        <v>0</v>
      </c>
    </row>
    <row r="11" spans="1:27" x14ac:dyDescent="0.3">
      <c r="A11">
        <v>8</v>
      </c>
      <c r="B11" s="70" t="s">
        <v>23</v>
      </c>
      <c r="C11">
        <v>63</v>
      </c>
      <c r="D11">
        <v>-36258.031000000003</v>
      </c>
      <c r="E11">
        <v>1.0472999999999999</v>
      </c>
      <c r="F11" t="s">
        <v>23</v>
      </c>
      <c r="G11">
        <v>72642.061000000002</v>
      </c>
      <c r="H11">
        <v>73162.721999999994</v>
      </c>
      <c r="I11">
        <v>73099.721999999994</v>
      </c>
      <c r="J11">
        <v>72899.516000000003</v>
      </c>
      <c r="K11">
        <v>53.16</v>
      </c>
      <c r="L11">
        <v>57.993000000000002</v>
      </c>
      <c r="M11">
        <v>1.5599999999999999E-2</v>
      </c>
      <c r="N11">
        <v>1.66E-2</v>
      </c>
      <c r="O11">
        <v>0.83399999999999996</v>
      </c>
      <c r="P11">
        <v>2.5329999999999998E-2</v>
      </c>
      <c r="Q11">
        <v>2.4719999999999999E-2</v>
      </c>
      <c r="R11">
        <v>5.6550000000000003E-2</v>
      </c>
      <c r="S11">
        <v>0.19366</v>
      </c>
      <c r="T11">
        <v>5.9720000000000002E-2</v>
      </c>
      <c r="U11">
        <v>6.4380000000000007E-2</v>
      </c>
      <c r="V11">
        <v>6.053E-2</v>
      </c>
      <c r="W11">
        <v>0.51510999999999996</v>
      </c>
      <c r="Z11">
        <v>92.977999999988199</v>
      </c>
      <c r="AA11">
        <v>0</v>
      </c>
    </row>
    <row r="12" spans="1:27" x14ac:dyDescent="0.3">
      <c r="A12">
        <v>9</v>
      </c>
      <c r="B12" s="70" t="s">
        <v>23</v>
      </c>
      <c r="C12">
        <v>71</v>
      </c>
      <c r="D12">
        <v>-36248.078999999998</v>
      </c>
      <c r="E12">
        <v>1.0421</v>
      </c>
      <c r="F12" t="s">
        <v>23</v>
      </c>
      <c r="G12">
        <v>72638.157000000007</v>
      </c>
      <c r="H12">
        <v>73224.933000000005</v>
      </c>
      <c r="I12">
        <v>73153.933000000005</v>
      </c>
      <c r="J12">
        <v>72928.304999999993</v>
      </c>
      <c r="K12">
        <v>35.965000000000003</v>
      </c>
      <c r="L12">
        <v>38.142000000000003</v>
      </c>
      <c r="M12">
        <v>0.2339</v>
      </c>
      <c r="N12">
        <v>0.2389</v>
      </c>
      <c r="O12">
        <v>0.82099999999999995</v>
      </c>
      <c r="P12">
        <v>0.11042</v>
      </c>
      <c r="Q12">
        <v>1.5310000000000001E-2</v>
      </c>
      <c r="R12">
        <v>6.7610000000000003E-2</v>
      </c>
      <c r="S12">
        <v>3.1690000000000003E-2</v>
      </c>
      <c r="T12">
        <v>3.7190000000000001E-2</v>
      </c>
      <c r="U12">
        <v>5.9859999999999997E-2</v>
      </c>
      <c r="V12">
        <v>1.4460000000000001E-2</v>
      </c>
      <c r="W12">
        <v>0.46867999999999999</v>
      </c>
      <c r="X12">
        <v>0.19478000000000001</v>
      </c>
      <c r="Z12">
        <v>147.188999999998</v>
      </c>
      <c r="AA12">
        <v>0</v>
      </c>
    </row>
    <row r="13" spans="1:27" x14ac:dyDescent="0.3">
      <c r="A13">
        <v>10</v>
      </c>
      <c r="B13" s="70" t="s">
        <v>23</v>
      </c>
      <c r="C13">
        <v>79</v>
      </c>
      <c r="D13">
        <v>-36242.989000000001</v>
      </c>
      <c r="E13">
        <v>1.0342</v>
      </c>
      <c r="F13" t="s">
        <v>23</v>
      </c>
      <c r="G13">
        <v>72643.978000000003</v>
      </c>
      <c r="H13">
        <v>73296.87</v>
      </c>
      <c r="I13">
        <v>73217.87</v>
      </c>
      <c r="J13">
        <v>72966.817999999999</v>
      </c>
      <c r="K13">
        <v>24.922999999999998</v>
      </c>
      <c r="L13">
        <v>27.814</v>
      </c>
      <c r="M13">
        <v>0.2127</v>
      </c>
      <c r="N13">
        <v>0.21579999999999999</v>
      </c>
      <c r="O13">
        <v>0.79100000000000004</v>
      </c>
      <c r="P13">
        <v>3.1960000000000002E-2</v>
      </c>
      <c r="Q13">
        <v>0.13366</v>
      </c>
      <c r="R13">
        <v>8.7819999999999995E-2</v>
      </c>
      <c r="S13">
        <v>7.3889999999999997E-2</v>
      </c>
      <c r="T13">
        <v>1.7559999999999999E-2</v>
      </c>
      <c r="U13">
        <v>7.5359999999999996E-2</v>
      </c>
      <c r="V13">
        <v>1.8259999999999998E-2</v>
      </c>
      <c r="W13">
        <v>0.1762</v>
      </c>
      <c r="X13">
        <v>6.8989999999999996E-2</v>
      </c>
      <c r="Y13">
        <v>0.31630000000000003</v>
      </c>
      <c r="Z13">
        <v>211.12599999998901</v>
      </c>
      <c r="AA13">
        <v>0</v>
      </c>
    </row>
    <row r="15" spans="1:27" x14ac:dyDescent="0.3">
      <c r="H15">
        <f>MIN(H4:H13)</f>
        <v>73053.744000000006</v>
      </c>
      <c r="I15">
        <f>MIN(I4:I13)</f>
        <v>73006.744000000006</v>
      </c>
      <c r="J15">
        <f>MIN(J4:J13)</f>
        <v>72857.384000000005</v>
      </c>
    </row>
    <row r="16" spans="1:27" x14ac:dyDescent="0.3">
      <c r="B16" t="s">
        <v>30</v>
      </c>
      <c r="J16">
        <v>7</v>
      </c>
      <c r="K16">
        <v>-40612.074999999997</v>
      </c>
      <c r="L16">
        <v>81296.001000000004</v>
      </c>
      <c r="M16">
        <v>81289.001000000004</v>
      </c>
      <c r="N16">
        <v>81266.755999999994</v>
      </c>
      <c r="S16">
        <v>0</v>
      </c>
    </row>
    <row r="17" spans="2:37" x14ac:dyDescent="0.3">
      <c r="B17" t="s">
        <v>31</v>
      </c>
      <c r="J17">
        <v>15</v>
      </c>
      <c r="K17">
        <v>-37212.714</v>
      </c>
      <c r="L17">
        <v>74579.395000000004</v>
      </c>
      <c r="M17">
        <v>74564.395000000004</v>
      </c>
      <c r="N17">
        <v>74516.726999999999</v>
      </c>
      <c r="O17">
        <v>0</v>
      </c>
      <c r="P17">
        <f>ROUND(MAX(P5:Q5),3)</f>
        <v>0.71099999999999997</v>
      </c>
      <c r="Q17">
        <f>ROUND(MIN(P5:Q5),3)</f>
        <v>0.28899999999999998</v>
      </c>
      <c r="R17">
        <v>1</v>
      </c>
      <c r="S17">
        <v>0</v>
      </c>
    </row>
    <row r="18" spans="2:37" x14ac:dyDescent="0.3">
      <c r="J18">
        <v>23</v>
      </c>
      <c r="K18">
        <v>-36779.226999999999</v>
      </c>
      <c r="L18">
        <v>73794.536999999997</v>
      </c>
      <c r="M18">
        <v>73771.536999999997</v>
      </c>
      <c r="N18">
        <v>73698.445999999996</v>
      </c>
      <c r="O18">
        <v>0</v>
      </c>
      <c r="P18">
        <f>ROUND(MAX(P6:R6),3)</f>
        <v>0.59</v>
      </c>
      <c r="Q18">
        <f>ROUND(MIN(P6:R6),3)</f>
        <v>0.11799999999999999</v>
      </c>
      <c r="R18">
        <v>0.85299999999999998</v>
      </c>
      <c r="S18">
        <v>0</v>
      </c>
    </row>
    <row r="19" spans="2:37" x14ac:dyDescent="0.3">
      <c r="B19" s="60"/>
      <c r="C19" s="60">
        <v>1</v>
      </c>
      <c r="D19" s="60">
        <v>2</v>
      </c>
      <c r="E19" s="60">
        <v>3</v>
      </c>
      <c r="F19" s="60"/>
      <c r="G19" s="60"/>
      <c r="H19" s="60"/>
      <c r="J19">
        <v>31</v>
      </c>
      <c r="K19">
        <v>-36575.821000000004</v>
      </c>
      <c r="L19">
        <v>73469.839000000007</v>
      </c>
      <c r="M19">
        <v>73438.839000000007</v>
      </c>
      <c r="N19">
        <v>73340.324999999997</v>
      </c>
      <c r="O19">
        <v>0</v>
      </c>
      <c r="P19">
        <f>ROUND(MAX(P7:S7),3)</f>
        <v>0.59099999999999997</v>
      </c>
      <c r="Q19">
        <f>ROUND(MIN(P7:S7),3)</f>
        <v>4.5999999999999999E-2</v>
      </c>
      <c r="R19">
        <v>0.85699999999999998</v>
      </c>
      <c r="S19">
        <v>0</v>
      </c>
    </row>
    <row r="20" spans="2:37" x14ac:dyDescent="0.3">
      <c r="B20" s="60"/>
      <c r="C20" s="60"/>
      <c r="D20" s="60"/>
      <c r="E20" s="60"/>
      <c r="F20" s="60"/>
      <c r="J20">
        <v>39</v>
      </c>
      <c r="K20">
        <v>-36372.478999999999</v>
      </c>
      <c r="L20">
        <v>73145.270999999993</v>
      </c>
      <c r="M20">
        <v>73106.270999999993</v>
      </c>
      <c r="N20">
        <v>72982.334000000003</v>
      </c>
      <c r="O20">
        <v>0</v>
      </c>
      <c r="P20">
        <f>ROUND(MAX(P8:T8),3)</f>
        <v>0.51300000000000001</v>
      </c>
      <c r="Q20">
        <f>ROUND(MIN(P8:T8),3)</f>
        <v>4.5999999999999999E-2</v>
      </c>
      <c r="R20">
        <v>0.82299999999999995</v>
      </c>
      <c r="S20">
        <v>0</v>
      </c>
      <c r="W20" t="s">
        <v>209</v>
      </c>
      <c r="Z20" t="s">
        <v>201</v>
      </c>
    </row>
    <row r="21" spans="2:37" x14ac:dyDescent="0.3">
      <c r="B21" s="60">
        <v>1</v>
      </c>
      <c r="C21" s="68">
        <v>1</v>
      </c>
      <c r="D21" s="68">
        <v>0</v>
      </c>
      <c r="E21" s="68">
        <v>0</v>
      </c>
      <c r="F21" s="68"/>
      <c r="H21" s="68"/>
      <c r="J21">
        <v>47</v>
      </c>
      <c r="K21">
        <v>-36285.656999999999</v>
      </c>
      <c r="L21">
        <v>73053.744000000006</v>
      </c>
      <c r="M21">
        <v>73006.744000000006</v>
      </c>
      <c r="N21">
        <v>72857.384000000005</v>
      </c>
      <c r="O21">
        <v>0</v>
      </c>
      <c r="P21">
        <f>ROUND(MAX(P9:U9),3)</f>
        <v>0.49</v>
      </c>
      <c r="Q21">
        <f>ROUND(MIN(P9:U9),3)</f>
        <v>3.7999999999999999E-2</v>
      </c>
      <c r="R21">
        <v>0.81100000000000005</v>
      </c>
      <c r="S21">
        <v>1</v>
      </c>
      <c r="U21" s="67">
        <f>C21</f>
        <v>1</v>
      </c>
      <c r="V21" t="s">
        <v>133</v>
      </c>
      <c r="W21">
        <v>3081.1053200000001</v>
      </c>
      <c r="X21">
        <v>0.29187999999999997</v>
      </c>
      <c r="Z21">
        <v>3055</v>
      </c>
      <c r="AA21">
        <v>0.28941</v>
      </c>
    </row>
    <row r="22" spans="2:37" x14ac:dyDescent="0.3">
      <c r="B22" s="60">
        <v>2</v>
      </c>
      <c r="C22" s="68">
        <v>2E-3</v>
      </c>
      <c r="D22" s="68">
        <v>0.877</v>
      </c>
      <c r="E22" s="68">
        <v>0.121</v>
      </c>
      <c r="F22" s="68"/>
      <c r="H22" s="68"/>
      <c r="J22">
        <v>55</v>
      </c>
      <c r="K22">
        <v>-36272.233</v>
      </c>
      <c r="L22">
        <v>73109.009999999995</v>
      </c>
      <c r="M22">
        <v>73054.009999999995</v>
      </c>
      <c r="N22">
        <v>72879.228000000003</v>
      </c>
      <c r="O22">
        <v>3.4700000000000002E-2</v>
      </c>
      <c r="P22">
        <f>ROUND(MAX(P10:V10),3)</f>
        <v>0.497</v>
      </c>
      <c r="Q22">
        <f>ROUND(MIN(P10:V10),3)</f>
        <v>3.9E-2</v>
      </c>
      <c r="R22">
        <v>0.80600000000000005</v>
      </c>
      <c r="S22">
        <v>0</v>
      </c>
      <c r="U22" s="67">
        <f>D22</f>
        <v>0.877</v>
      </c>
      <c r="V22" t="s">
        <v>153</v>
      </c>
      <c r="W22">
        <v>1249.6119699999999</v>
      </c>
      <c r="X22">
        <v>0.11838</v>
      </c>
      <c r="Z22">
        <v>790</v>
      </c>
      <c r="AA22">
        <v>7.4840000000000004E-2</v>
      </c>
    </row>
    <row r="23" spans="2:37" x14ac:dyDescent="0.3">
      <c r="B23" s="60">
        <v>3</v>
      </c>
      <c r="C23" s="68">
        <v>4.0000000000000001E-3</v>
      </c>
      <c r="D23" s="68">
        <v>8.3000000000000004E-2</v>
      </c>
      <c r="E23" s="68">
        <v>0.91300000000000003</v>
      </c>
      <c r="F23" s="68"/>
      <c r="H23" s="68"/>
      <c r="J23">
        <v>63</v>
      </c>
      <c r="K23">
        <v>-36258.031000000003</v>
      </c>
      <c r="L23">
        <v>73162.721999999994</v>
      </c>
      <c r="M23">
        <v>73099.721999999994</v>
      </c>
      <c r="N23">
        <v>72899.516000000003</v>
      </c>
      <c r="O23">
        <v>1.66E-2</v>
      </c>
      <c r="P23">
        <f>ROUND(MAX(P11:W11),3)</f>
        <v>0.51500000000000001</v>
      </c>
      <c r="Q23">
        <f>ROUND(MIN(P11:W11),3)</f>
        <v>2.5000000000000001E-2</v>
      </c>
      <c r="R23">
        <v>0.83399999999999996</v>
      </c>
      <c r="S23">
        <v>0</v>
      </c>
      <c r="U23" s="67">
        <f>E23</f>
        <v>0.91300000000000003</v>
      </c>
      <c r="V23" t="s">
        <v>74</v>
      </c>
      <c r="W23">
        <v>6225.2827100000004</v>
      </c>
      <c r="X23">
        <v>0.58974000000000004</v>
      </c>
      <c r="Z23">
        <v>6711</v>
      </c>
      <c r="AA23">
        <v>0.63575000000000004</v>
      </c>
    </row>
    <row r="24" spans="2:37" x14ac:dyDescent="0.3">
      <c r="B24" s="60"/>
      <c r="C24" s="68"/>
      <c r="D24" s="68"/>
      <c r="E24" s="68"/>
      <c r="F24" s="68"/>
      <c r="H24" s="68"/>
      <c r="J24">
        <v>71</v>
      </c>
      <c r="K24">
        <v>-36248.078999999998</v>
      </c>
      <c r="L24">
        <v>73224.933000000005</v>
      </c>
      <c r="M24">
        <v>73153.933000000005</v>
      </c>
      <c r="N24">
        <v>72928.304999999993</v>
      </c>
      <c r="O24">
        <v>0.2389</v>
      </c>
      <c r="P24">
        <f>ROUND(MAX(P12:X12),3)</f>
        <v>0.46899999999999997</v>
      </c>
      <c r="Q24">
        <f>ROUND(MIN(P12:X12),3)</f>
        <v>1.4E-2</v>
      </c>
      <c r="R24">
        <v>0.82099999999999995</v>
      </c>
      <c r="S24">
        <v>0</v>
      </c>
    </row>
    <row r="25" spans="2:37" x14ac:dyDescent="0.3">
      <c r="B25" s="60"/>
      <c r="H25" s="68"/>
      <c r="J25">
        <v>79</v>
      </c>
      <c r="K25">
        <v>-36242.989000000001</v>
      </c>
      <c r="L25">
        <v>73296.87</v>
      </c>
      <c r="M25" s="69">
        <v>73217.87</v>
      </c>
      <c r="N25">
        <v>72966.817999999999</v>
      </c>
      <c r="O25">
        <v>0.21579999999999999</v>
      </c>
      <c r="P25">
        <f>ROUND(MAX(P13:Y13),3)</f>
        <v>0.316</v>
      </c>
      <c r="Q25">
        <f>ROUND(MIN(P13:Y13),3)</f>
        <v>1.7999999999999999E-2</v>
      </c>
      <c r="R25">
        <v>0.79100000000000004</v>
      </c>
      <c r="S25">
        <v>0</v>
      </c>
    </row>
    <row r="26" spans="2:37" x14ac:dyDescent="0.3">
      <c r="B26" s="60"/>
      <c r="H26" s="68"/>
    </row>
    <row r="29" spans="2:37" x14ac:dyDescent="0.3">
      <c r="D29" t="s">
        <v>33</v>
      </c>
      <c r="J29">
        <v>3081.1053200000001</v>
      </c>
      <c r="K29">
        <v>0.29187999999999997</v>
      </c>
      <c r="N29" t="s">
        <v>54</v>
      </c>
      <c r="P29">
        <v>1249.6119699999999</v>
      </c>
      <c r="Q29">
        <v>0.11838</v>
      </c>
      <c r="S29" t="s">
        <v>55</v>
      </c>
      <c r="U29">
        <v>6225.2827100000004</v>
      </c>
      <c r="V29">
        <v>0.58974000000000004</v>
      </c>
    </row>
    <row r="30" spans="2:37" x14ac:dyDescent="0.3">
      <c r="J30" t="s">
        <v>68</v>
      </c>
      <c r="N30" t="s">
        <v>153</v>
      </c>
      <c r="S30" t="s">
        <v>74</v>
      </c>
    </row>
    <row r="31" spans="2:37" ht="15.6" x14ac:dyDescent="0.3">
      <c r="C31" s="62"/>
      <c r="D31" t="s">
        <v>32</v>
      </c>
      <c r="E31" s="62" t="s">
        <v>34</v>
      </c>
      <c r="H31" t="s">
        <v>53</v>
      </c>
      <c r="I31" s="59" t="s">
        <v>49</v>
      </c>
      <c r="J31" s="59" t="s">
        <v>50</v>
      </c>
      <c r="K31" s="59" t="s">
        <v>51</v>
      </c>
      <c r="L31" s="59" t="s">
        <v>52</v>
      </c>
      <c r="N31" s="59" t="s">
        <v>49</v>
      </c>
      <c r="O31" s="59" t="s">
        <v>50</v>
      </c>
      <c r="P31" s="59" t="s">
        <v>51</v>
      </c>
      <c r="Q31" s="59" t="s">
        <v>52</v>
      </c>
      <c r="S31" s="59" t="s">
        <v>49</v>
      </c>
      <c r="T31" s="59" t="s">
        <v>50</v>
      </c>
      <c r="U31" s="59" t="s">
        <v>51</v>
      </c>
      <c r="V31" s="59" t="s">
        <v>52</v>
      </c>
      <c r="X31" s="59"/>
      <c r="Y31" s="59"/>
      <c r="Z31" s="59"/>
      <c r="AA31" s="59"/>
      <c r="AC31" s="59"/>
      <c r="AD31" s="59"/>
      <c r="AE31" s="59"/>
      <c r="AF31" s="59"/>
      <c r="AH31" s="59"/>
      <c r="AI31" s="59"/>
      <c r="AJ31" s="59"/>
      <c r="AK31" s="59"/>
    </row>
    <row r="32" spans="2:37" ht="15.6" x14ac:dyDescent="0.3">
      <c r="E32" s="65" t="s">
        <v>39</v>
      </c>
      <c r="H32">
        <v>1</v>
      </c>
      <c r="I32">
        <v>0.90800000000000003</v>
      </c>
      <c r="J32">
        <v>6.0000000000000001E-3</v>
      </c>
      <c r="K32">
        <v>162.84899999999999</v>
      </c>
      <c r="L32">
        <v>0</v>
      </c>
      <c r="N32">
        <v>0.67600000000000005</v>
      </c>
      <c r="O32">
        <v>2.5000000000000001E-2</v>
      </c>
      <c r="P32">
        <v>27.108000000000001</v>
      </c>
      <c r="Q32">
        <v>0</v>
      </c>
      <c r="S32">
        <v>0.85699999999999998</v>
      </c>
      <c r="T32">
        <v>6.0000000000000001E-3</v>
      </c>
      <c r="U32">
        <v>150.476</v>
      </c>
      <c r="V32">
        <v>0</v>
      </c>
    </row>
    <row r="33" spans="3:22" ht="15.6" x14ac:dyDescent="0.3">
      <c r="E33" s="65" t="s">
        <v>57</v>
      </c>
      <c r="H33">
        <v>2</v>
      </c>
      <c r="I33">
        <v>9.1999999999999998E-2</v>
      </c>
      <c r="J33">
        <v>6.0000000000000001E-3</v>
      </c>
      <c r="K33">
        <v>16.552</v>
      </c>
      <c r="L33">
        <v>0</v>
      </c>
      <c r="N33">
        <v>0.32400000000000001</v>
      </c>
      <c r="O33">
        <v>2.5000000000000001E-2</v>
      </c>
      <c r="P33">
        <v>12.994999999999999</v>
      </c>
      <c r="Q33">
        <v>0</v>
      </c>
      <c r="S33">
        <v>0.14299999999999999</v>
      </c>
      <c r="T33">
        <v>6.0000000000000001E-3</v>
      </c>
      <c r="U33">
        <v>25.193999999999999</v>
      </c>
      <c r="V33">
        <v>0</v>
      </c>
    </row>
    <row r="34" spans="3:22" ht="15.6" x14ac:dyDescent="0.3">
      <c r="E34" s="64" t="s">
        <v>35</v>
      </c>
    </row>
    <row r="35" spans="3:22" ht="15.6" x14ac:dyDescent="0.3">
      <c r="E35" s="65" t="s">
        <v>39</v>
      </c>
      <c r="H35">
        <v>1</v>
      </c>
      <c r="I35">
        <v>0.76800000000000002</v>
      </c>
      <c r="J35">
        <v>8.0000000000000002E-3</v>
      </c>
      <c r="K35">
        <v>97.528999999999996</v>
      </c>
      <c r="L35">
        <v>0</v>
      </c>
      <c r="N35">
        <v>0.88100000000000001</v>
      </c>
      <c r="O35">
        <v>1.4E-2</v>
      </c>
      <c r="P35">
        <v>61.023000000000003</v>
      </c>
      <c r="Q35">
        <v>0</v>
      </c>
      <c r="S35">
        <v>0.88500000000000001</v>
      </c>
      <c r="T35">
        <v>5.0000000000000001E-3</v>
      </c>
      <c r="U35">
        <v>180.952</v>
      </c>
      <c r="V35">
        <v>0</v>
      </c>
    </row>
    <row r="36" spans="3:22" ht="15.6" x14ac:dyDescent="0.3">
      <c r="E36" s="65" t="s">
        <v>58</v>
      </c>
      <c r="H36">
        <v>2</v>
      </c>
      <c r="I36">
        <v>0.23200000000000001</v>
      </c>
      <c r="J36">
        <v>8.0000000000000002E-3</v>
      </c>
      <c r="K36">
        <v>29.527000000000001</v>
      </c>
      <c r="L36">
        <v>0</v>
      </c>
      <c r="N36">
        <v>0.11899999999999999</v>
      </c>
      <c r="O36">
        <v>1.4E-2</v>
      </c>
      <c r="P36">
        <v>8.2080000000000002</v>
      </c>
      <c r="Q36">
        <v>0</v>
      </c>
      <c r="S36">
        <v>0.115</v>
      </c>
      <c r="T36">
        <v>5.0000000000000001E-3</v>
      </c>
      <c r="U36">
        <v>23.622</v>
      </c>
      <c r="V36">
        <v>0</v>
      </c>
    </row>
    <row r="37" spans="3:22" ht="15.6" x14ac:dyDescent="0.3">
      <c r="C37" s="62"/>
      <c r="D37" s="62"/>
      <c r="E37" s="62" t="s">
        <v>40</v>
      </c>
    </row>
    <row r="38" spans="3:22" ht="15.6" x14ac:dyDescent="0.3">
      <c r="E38" s="63" t="s">
        <v>39</v>
      </c>
      <c r="H38">
        <v>1</v>
      </c>
      <c r="I38">
        <v>0.83199999999999996</v>
      </c>
      <c r="J38">
        <v>7.0000000000000001E-3</v>
      </c>
      <c r="K38">
        <v>120.80800000000001</v>
      </c>
      <c r="L38">
        <v>0</v>
      </c>
      <c r="N38">
        <v>0.43099999999999999</v>
      </c>
      <c r="O38">
        <v>5.6000000000000001E-2</v>
      </c>
      <c r="P38">
        <v>7.6849999999999996</v>
      </c>
      <c r="Q38">
        <v>0</v>
      </c>
      <c r="S38">
        <v>0.93899999999999995</v>
      </c>
      <c r="T38">
        <v>7.0000000000000001E-3</v>
      </c>
      <c r="U38">
        <v>126.892</v>
      </c>
      <c r="V38">
        <v>0</v>
      </c>
    </row>
    <row r="39" spans="3:22" ht="15.6" x14ac:dyDescent="0.3">
      <c r="E39" s="65" t="s">
        <v>59</v>
      </c>
      <c r="H39">
        <v>2</v>
      </c>
      <c r="I39">
        <v>0.16800000000000001</v>
      </c>
      <c r="J39">
        <v>7.0000000000000001E-3</v>
      </c>
      <c r="K39">
        <v>24.469000000000001</v>
      </c>
      <c r="L39">
        <v>0</v>
      </c>
      <c r="N39">
        <v>0.56899999999999995</v>
      </c>
      <c r="O39">
        <v>5.6000000000000001E-2</v>
      </c>
      <c r="P39">
        <v>10.159000000000001</v>
      </c>
      <c r="Q39">
        <v>0</v>
      </c>
      <c r="S39">
        <v>6.0999999999999999E-2</v>
      </c>
      <c r="T39">
        <v>7.0000000000000001E-3</v>
      </c>
      <c r="U39">
        <v>8.2409999999999997</v>
      </c>
      <c r="V39">
        <v>0</v>
      </c>
    </row>
    <row r="40" spans="3:22" ht="15.6" x14ac:dyDescent="0.3">
      <c r="E40" s="62" t="s">
        <v>41</v>
      </c>
    </row>
    <row r="41" spans="3:22" ht="15.6" x14ac:dyDescent="0.3">
      <c r="C41" s="63"/>
      <c r="E41" t="s">
        <v>42</v>
      </c>
      <c r="H41">
        <v>1</v>
      </c>
      <c r="I41">
        <v>0.67600000000000005</v>
      </c>
      <c r="J41">
        <v>8.9999999999999993E-3</v>
      </c>
      <c r="K41">
        <v>78.299000000000007</v>
      </c>
      <c r="L41">
        <v>0</v>
      </c>
      <c r="N41">
        <v>0.1</v>
      </c>
      <c r="O41">
        <v>4.8000000000000001E-2</v>
      </c>
      <c r="P41">
        <v>2.101</v>
      </c>
      <c r="Q41">
        <v>3.5999999999999997E-2</v>
      </c>
      <c r="S41">
        <v>0.82699999999999996</v>
      </c>
      <c r="T41">
        <v>1.6E-2</v>
      </c>
      <c r="U41">
        <v>51.06</v>
      </c>
      <c r="V41">
        <v>0</v>
      </c>
    </row>
    <row r="42" spans="3:22" ht="15.6" x14ac:dyDescent="0.3">
      <c r="C42" s="63"/>
      <c r="E42" t="s">
        <v>60</v>
      </c>
      <c r="H42">
        <v>2</v>
      </c>
      <c r="I42">
        <v>0.32400000000000001</v>
      </c>
      <c r="J42">
        <v>8.9999999999999993E-3</v>
      </c>
      <c r="K42">
        <v>37.531999999999996</v>
      </c>
      <c r="L42">
        <v>0</v>
      </c>
      <c r="N42">
        <v>0.9</v>
      </c>
      <c r="O42">
        <v>4.8000000000000001E-2</v>
      </c>
      <c r="P42">
        <v>18.847000000000001</v>
      </c>
      <c r="Q42">
        <v>0</v>
      </c>
      <c r="S42">
        <v>0.17299999999999999</v>
      </c>
      <c r="T42">
        <v>1.6E-2</v>
      </c>
      <c r="U42">
        <v>10.662000000000001</v>
      </c>
      <c r="V42">
        <v>0</v>
      </c>
    </row>
    <row r="43" spans="3:22" ht="15.6" x14ac:dyDescent="0.3">
      <c r="E43" s="62" t="s">
        <v>43</v>
      </c>
    </row>
    <row r="44" spans="3:22" ht="15.6" x14ac:dyDescent="0.3">
      <c r="C44" s="63"/>
      <c r="E44" t="s">
        <v>44</v>
      </c>
      <c r="H44">
        <v>1</v>
      </c>
      <c r="I44">
        <v>0.50800000000000001</v>
      </c>
      <c r="J44">
        <v>8.9999999999999993E-3</v>
      </c>
      <c r="K44">
        <v>54.994</v>
      </c>
      <c r="L44">
        <v>0</v>
      </c>
      <c r="N44">
        <v>0.69799999999999995</v>
      </c>
      <c r="O44">
        <v>0.02</v>
      </c>
      <c r="P44">
        <v>35.167000000000002</v>
      </c>
      <c r="Q44">
        <v>0</v>
      </c>
      <c r="S44">
        <v>0.63800000000000001</v>
      </c>
      <c r="T44">
        <v>7.0000000000000001E-3</v>
      </c>
      <c r="U44">
        <v>90.638999999999996</v>
      </c>
      <c r="V44">
        <v>0</v>
      </c>
    </row>
    <row r="45" spans="3:22" ht="15.6" x14ac:dyDescent="0.3">
      <c r="C45" s="63"/>
      <c r="E45" t="s">
        <v>61</v>
      </c>
      <c r="H45">
        <v>2</v>
      </c>
      <c r="I45">
        <v>0.49199999999999999</v>
      </c>
      <c r="J45">
        <v>8.9999999999999993E-3</v>
      </c>
      <c r="K45">
        <v>53.34</v>
      </c>
      <c r="L45">
        <v>0</v>
      </c>
      <c r="N45">
        <v>0.30199999999999999</v>
      </c>
      <c r="O45">
        <v>0.02</v>
      </c>
      <c r="P45">
        <v>15.22</v>
      </c>
      <c r="Q45">
        <v>0</v>
      </c>
      <c r="S45">
        <v>0.36199999999999999</v>
      </c>
      <c r="T45">
        <v>7.0000000000000001E-3</v>
      </c>
      <c r="U45">
        <v>51.390999999999998</v>
      </c>
      <c r="V45">
        <v>0</v>
      </c>
    </row>
    <row r="46" spans="3:22" ht="15.6" x14ac:dyDescent="0.3">
      <c r="C46" s="62"/>
      <c r="E46" s="62" t="s">
        <v>45</v>
      </c>
    </row>
    <row r="47" spans="3:22" ht="15.6" x14ac:dyDescent="0.3">
      <c r="C47" s="63"/>
      <c r="E47" t="s">
        <v>46</v>
      </c>
      <c r="H47">
        <v>1</v>
      </c>
      <c r="I47">
        <v>1</v>
      </c>
      <c r="J47">
        <v>0</v>
      </c>
      <c r="K47">
        <v>0</v>
      </c>
      <c r="L47">
        <v>1</v>
      </c>
      <c r="N47">
        <v>0.35099999999999998</v>
      </c>
      <c r="O47">
        <v>1.9E-2</v>
      </c>
      <c r="P47">
        <v>18.408000000000001</v>
      </c>
      <c r="Q47">
        <v>0</v>
      </c>
      <c r="S47">
        <v>0.217</v>
      </c>
      <c r="T47">
        <v>8.9999999999999993E-3</v>
      </c>
      <c r="U47">
        <v>24.141999999999999</v>
      </c>
      <c r="V47">
        <v>0</v>
      </c>
    </row>
    <row r="48" spans="3:22" ht="15.6" x14ac:dyDescent="0.3">
      <c r="C48" s="63"/>
      <c r="E48" t="s">
        <v>63</v>
      </c>
      <c r="H48">
        <v>2</v>
      </c>
      <c r="I48">
        <v>0</v>
      </c>
      <c r="J48">
        <v>0</v>
      </c>
      <c r="K48">
        <v>0</v>
      </c>
      <c r="L48">
        <v>1</v>
      </c>
      <c r="N48">
        <v>0.64900000000000002</v>
      </c>
      <c r="O48">
        <v>1.9E-2</v>
      </c>
      <c r="P48">
        <v>34.067999999999998</v>
      </c>
      <c r="Q48">
        <v>0</v>
      </c>
      <c r="S48">
        <v>0.78300000000000003</v>
      </c>
      <c r="T48">
        <v>8.9999999999999993E-3</v>
      </c>
      <c r="U48">
        <v>87.221999999999994</v>
      </c>
      <c r="V48">
        <v>0</v>
      </c>
    </row>
    <row r="49" spans="3:22" ht="15.6" x14ac:dyDescent="0.3">
      <c r="C49" s="63"/>
      <c r="E49" s="62" t="s">
        <v>45</v>
      </c>
    </row>
    <row r="50" spans="3:22" x14ac:dyDescent="0.3">
      <c r="C50" s="66"/>
      <c r="E50" t="s">
        <v>47</v>
      </c>
      <c r="H50">
        <v>1</v>
      </c>
      <c r="I50">
        <v>8.0000000000000002E-3</v>
      </c>
      <c r="J50">
        <v>2.1000000000000001E-2</v>
      </c>
      <c r="K50">
        <v>0.41199999999999998</v>
      </c>
      <c r="L50">
        <v>0.68</v>
      </c>
      <c r="N50">
        <v>1</v>
      </c>
      <c r="O50">
        <v>0</v>
      </c>
      <c r="P50">
        <v>0</v>
      </c>
      <c r="Q50">
        <v>1</v>
      </c>
      <c r="S50">
        <v>1</v>
      </c>
      <c r="T50">
        <v>0</v>
      </c>
      <c r="U50">
        <v>0</v>
      </c>
      <c r="V50">
        <v>1</v>
      </c>
    </row>
    <row r="51" spans="3:22" x14ac:dyDescent="0.3">
      <c r="E51" t="s">
        <v>62</v>
      </c>
      <c r="H51">
        <v>2</v>
      </c>
      <c r="I51">
        <v>0.99199999999999999</v>
      </c>
      <c r="J51">
        <v>2.1000000000000001E-2</v>
      </c>
      <c r="K51">
        <v>48.255000000000003</v>
      </c>
      <c r="L51">
        <v>0</v>
      </c>
      <c r="N51">
        <v>0</v>
      </c>
      <c r="O51">
        <v>0</v>
      </c>
      <c r="P51">
        <v>0</v>
      </c>
      <c r="Q51">
        <v>1</v>
      </c>
      <c r="S51">
        <v>0</v>
      </c>
      <c r="T51">
        <v>0</v>
      </c>
      <c r="U51">
        <v>0</v>
      </c>
      <c r="V51">
        <v>1</v>
      </c>
    </row>
    <row r="52" spans="3:22" ht="15.6" x14ac:dyDescent="0.3">
      <c r="E52" s="62"/>
    </row>
    <row r="65" spans="7:17" x14ac:dyDescent="0.3">
      <c r="P65" t="s">
        <v>211</v>
      </c>
      <c r="Q65" t="s">
        <v>105</v>
      </c>
    </row>
    <row r="66" spans="7:17" x14ac:dyDescent="0.3">
      <c r="P66" t="s">
        <v>212</v>
      </c>
      <c r="Q66" t="s">
        <v>109</v>
      </c>
    </row>
    <row r="67" spans="7:17" x14ac:dyDescent="0.3">
      <c r="P67" t="s">
        <v>213</v>
      </c>
      <c r="Q67" t="s">
        <v>110</v>
      </c>
    </row>
    <row r="76" spans="7:17" x14ac:dyDescent="0.3">
      <c r="G76" t="s">
        <v>210</v>
      </c>
    </row>
    <row r="100" spans="2:12" x14ac:dyDescent="0.3">
      <c r="E100" t="s">
        <v>209</v>
      </c>
      <c r="H100" t="s">
        <v>201</v>
      </c>
    </row>
    <row r="101" spans="2:12" x14ac:dyDescent="0.3">
      <c r="C101">
        <v>1</v>
      </c>
      <c r="D101" t="s">
        <v>133</v>
      </c>
      <c r="E101">
        <v>3081.1053200000001</v>
      </c>
      <c r="F101">
        <v>0.29187999999999997</v>
      </c>
      <c r="H101">
        <v>3055</v>
      </c>
      <c r="I101">
        <v>0.28941</v>
      </c>
    </row>
    <row r="102" spans="2:12" x14ac:dyDescent="0.3">
      <c r="C102">
        <v>0.877</v>
      </c>
      <c r="D102" t="s">
        <v>153</v>
      </c>
      <c r="E102">
        <v>1249.6119699999999</v>
      </c>
      <c r="F102">
        <v>0.11838</v>
      </c>
      <c r="H102">
        <v>790</v>
      </c>
      <c r="I102">
        <v>7.4840000000000004E-2</v>
      </c>
    </row>
    <row r="103" spans="2:12" x14ac:dyDescent="0.3">
      <c r="C103">
        <v>0.91300000000000003</v>
      </c>
      <c r="D103" t="s">
        <v>74</v>
      </c>
      <c r="E103">
        <v>6225.2827100000004</v>
      </c>
      <c r="F103">
        <v>0.58974000000000004</v>
      </c>
      <c r="H103">
        <v>6711</v>
      </c>
      <c r="I103">
        <v>0.63575000000000004</v>
      </c>
    </row>
    <row r="105" spans="2:12" x14ac:dyDescent="0.3">
      <c r="C105" t="s">
        <v>173</v>
      </c>
      <c r="D105" t="s">
        <v>174</v>
      </c>
      <c r="E105" t="s">
        <v>175</v>
      </c>
      <c r="F105" t="s">
        <v>176</v>
      </c>
      <c r="G105" t="s">
        <v>177</v>
      </c>
      <c r="H105" t="s">
        <v>178</v>
      </c>
      <c r="L105" t="s">
        <v>179</v>
      </c>
    </row>
    <row r="106" spans="2:12" x14ac:dyDescent="0.3">
      <c r="B106" t="s">
        <v>133</v>
      </c>
      <c r="C106">
        <v>1</v>
      </c>
      <c r="D106">
        <f>ROUND(F101,3)</f>
        <v>0.29199999999999998</v>
      </c>
      <c r="E106">
        <f>ROUND(I101,3)</f>
        <v>0.28899999999999998</v>
      </c>
      <c r="F106">
        <f>ROUND(C101,3)</f>
        <v>1</v>
      </c>
      <c r="G106" t="e">
        <f>ROUND((F106/(1-F106))/(D106/(1-D106)),3)</f>
        <v>#DIV/0!</v>
      </c>
      <c r="H106">
        <f>ROUND(H101/$L$106,3)</f>
        <v>132.82599999999999</v>
      </c>
      <c r="L106">
        <f>C6</f>
        <v>23</v>
      </c>
    </row>
    <row r="107" spans="2:12" x14ac:dyDescent="0.3">
      <c r="B107" t="s">
        <v>67</v>
      </c>
      <c r="C107">
        <v>2</v>
      </c>
      <c r="D107">
        <f t="shared" ref="D107:D108" si="0">ROUND(F102,3)</f>
        <v>0.11799999999999999</v>
      </c>
      <c r="E107">
        <f t="shared" ref="E107:E108" si="1">ROUND(I102,3)</f>
        <v>7.4999999999999997E-2</v>
      </c>
      <c r="F107">
        <f t="shared" ref="F107:F108" si="2">ROUND(C102,3)</f>
        <v>0.877</v>
      </c>
      <c r="G107">
        <f>ROUND((F107/(1-F107))/(D107/(1-D107)),3)</f>
        <v>53.293999999999997</v>
      </c>
      <c r="H107">
        <f>ROUND(H102/$L$106,3)</f>
        <v>34.347999999999999</v>
      </c>
    </row>
    <row r="108" spans="2:12" x14ac:dyDescent="0.3">
      <c r="B108" t="s">
        <v>145</v>
      </c>
      <c r="C108">
        <v>3</v>
      </c>
      <c r="D108">
        <f t="shared" si="0"/>
        <v>0.59</v>
      </c>
      <c r="E108">
        <f t="shared" si="1"/>
        <v>0.63600000000000001</v>
      </c>
      <c r="F108">
        <f t="shared" si="2"/>
        <v>0.91300000000000003</v>
      </c>
      <c r="G108">
        <f>ROUND((F108/(1-F108))/(D108/(1-D108)),3)</f>
        <v>7.2930000000000001</v>
      </c>
      <c r="H108">
        <f>ROUND(H103/$L$106,3)</f>
        <v>291.78300000000002</v>
      </c>
    </row>
    <row r="110" spans="2:12" x14ac:dyDescent="0.3">
      <c r="C110" t="str">
        <f>C106&amp;"&amp;"&amp;D101&amp;"&amp;"&amp;D106&amp;"&amp;"&amp;E106&amp;"&amp;"&amp;F106&amp;"&amp;"&amp;"&gt;"&amp;"&amp;"&amp;H106</f>
        <v>1&amp;Indiff&amp;0,292&amp;0,289&amp;1&amp;&gt;&amp;132,826</v>
      </c>
    </row>
    <row r="111" spans="2:12" x14ac:dyDescent="0.3">
      <c r="C111" t="str">
        <f>C107&amp;"&amp;"&amp;D102&amp;"&amp;"&amp;D107&amp;"&amp;"&amp;E107&amp;"&amp;"&amp;F107&amp;"&amp;"&amp;G107&amp;"&amp;"&amp;H107</f>
        <v>2&amp;ExtreMis&amp;0,118&amp;0,075&amp;0,877&amp;53,294&amp;34,348</v>
      </c>
    </row>
    <row r="112" spans="2:12" x14ac:dyDescent="0.3">
      <c r="C112" t="str">
        <f>C108&amp;"&amp;"&amp;D103&amp;"&amp;"&amp;D108&amp;"&amp;"&amp;E108&amp;"&amp;"&amp;F108&amp;"&amp;"&amp;G108&amp;"&amp;"&amp;H108</f>
        <v>3&amp;Optimize&amp;0,59&amp;0,636&amp;0,913&amp;7,293&amp;291,783</v>
      </c>
    </row>
    <row r="116" spans="3:3" x14ac:dyDescent="0.3">
      <c r="C116" t="s">
        <v>216</v>
      </c>
    </row>
    <row r="117" spans="3:3" x14ac:dyDescent="0.3">
      <c r="C117" t="s">
        <v>217</v>
      </c>
    </row>
    <row r="118" spans="3:3" x14ac:dyDescent="0.3">
      <c r="C118" t="s">
        <v>215</v>
      </c>
    </row>
  </sheetData>
  <autoFilter ref="A3:W9" xr:uid="{00000000-0009-0000-0000-000003000000}"/>
  <conditionalFormatting sqref="C21 D22 E23">
    <cfRule type="cellIs" dxfId="14" priority="11" operator="lessThan">
      <formula>0.8</formula>
    </cfRule>
    <cfRule type="cellIs" dxfId="13" priority="12" operator="equal">
      <formula>1</formula>
    </cfRule>
    <cfRule type="cellIs" dxfId="12" priority="13" operator="between">
      <formula>0.8</formula>
      <formula>0.85</formula>
    </cfRule>
    <cfRule type="cellIs" dxfId="11" priority="14" operator="greaterThanOrEqual">
      <formula>0.85</formula>
    </cfRule>
  </conditionalFormatting>
  <conditionalFormatting sqref="C31 C37:D37 C41:C42 C44:C51">
    <cfRule type="containsBlanks" priority="10" stopIfTrue="1">
      <formula>LEN(TRIM(C31))=0</formula>
    </cfRule>
  </conditionalFormatting>
  <conditionalFormatting sqref="E31:E40">
    <cfRule type="containsBlanks" priority="8" stopIfTrue="1">
      <formula>LEN(TRIM(E31))=0</formula>
    </cfRule>
  </conditionalFormatting>
  <conditionalFormatting sqref="E43">
    <cfRule type="containsBlanks" priority="9" stopIfTrue="1">
      <formula>LEN(TRIM(E43))=0</formula>
    </cfRule>
  </conditionalFormatting>
  <conditionalFormatting sqref="E46">
    <cfRule type="containsBlanks" priority="7" stopIfTrue="1">
      <formula>LEN(TRIM(E46))=0</formula>
    </cfRule>
  </conditionalFormatting>
  <conditionalFormatting sqref="E49">
    <cfRule type="containsBlanks" priority="6" stopIfTrue="1">
      <formula>LEN(TRIM(E49))=0</formula>
    </cfRule>
  </conditionalFormatting>
  <conditionalFormatting sqref="E52">
    <cfRule type="containsBlanks" priority="5" stopIfTrue="1">
      <formula>LEN(TRIM(E52))=0</formula>
    </cfRule>
  </conditionalFormatting>
  <conditionalFormatting sqref="H4:H13 H15">
    <cfRule type="duplicateValues" dxfId="10" priority="3"/>
  </conditionalFormatting>
  <conditionalFormatting sqref="H4:H1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3 I15">
    <cfRule type="duplicateValues" dxfId="9" priority="2"/>
  </conditionalFormatting>
  <conditionalFormatting sqref="I4:I1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3 J15">
    <cfRule type="duplicateValues" dxfId="8" priority="1"/>
  </conditionalFormatting>
  <conditionalFormatting sqref="J4:J1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3">
    <cfRule type="cellIs" dxfId="7" priority="21" stopIfTrue="1" operator="between">
      <formula>0</formula>
      <formula>0.05</formula>
    </cfRule>
  </conditionalFormatting>
  <conditionalFormatting sqref="Q5:Q13">
    <cfRule type="cellIs" dxfId="6" priority="22" stopIfTrue="1" operator="between">
      <formula>0</formula>
      <formula>0.05</formula>
    </cfRule>
  </conditionalFormatting>
  <conditionalFormatting sqref="R6:R13">
    <cfRule type="cellIs" dxfId="5" priority="23" stopIfTrue="1" operator="between">
      <formula>0</formula>
      <formula>0.05</formula>
    </cfRule>
  </conditionalFormatting>
  <conditionalFormatting sqref="S7:S13">
    <cfRule type="cellIs" dxfId="4" priority="24" stopIfTrue="1" operator="between">
      <formula>0</formula>
      <formula>0.05</formula>
    </cfRule>
  </conditionalFormatting>
  <conditionalFormatting sqref="T8:T13">
    <cfRule type="cellIs" dxfId="3" priority="25" stopIfTrue="1" operator="between">
      <formula>0</formula>
      <formula>0.05</formula>
    </cfRule>
  </conditionalFormatting>
  <conditionalFormatting sqref="U9:U13 V10:V13 W11:W13 X12:X13 Y13">
    <cfRule type="cellIs" dxfId="2" priority="26" stopIfTrue="1" operator="between">
      <formula>0</formula>
      <formula>0.05</formula>
    </cfRule>
  </conditionalFormatting>
  <conditionalFormatting sqref="Z4:Z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1106-7247-4D96-A52D-85FF97E3F872}">
  <dimension ref="A1:N150"/>
  <sheetViews>
    <sheetView tabSelected="1" zoomScale="85" zoomScaleNormal="85" workbookViewId="0">
      <pane ySplit="1" topLeftCell="A2" activePane="bottomLeft" state="frozen"/>
      <selection pane="bottomLeft" activeCell="L30" sqref="L30"/>
    </sheetView>
  </sheetViews>
  <sheetFormatPr defaultRowHeight="14.4" x14ac:dyDescent="0.3"/>
  <cols>
    <col min="1" max="1" width="52.77734375" customWidth="1"/>
    <col min="2" max="2" width="45.77734375" customWidth="1"/>
    <col min="3" max="3" width="43.21875" customWidth="1"/>
    <col min="7" max="7" width="18.109375" customWidth="1"/>
    <col min="14" max="14" width="22.21875" customWidth="1"/>
    <col min="15" max="15" width="42.77734375" customWidth="1"/>
    <col min="16" max="16" width="20.88671875" customWidth="1"/>
  </cols>
  <sheetData>
    <row r="1" spans="1:14" x14ac:dyDescent="0.3">
      <c r="A1" t="s">
        <v>84</v>
      </c>
      <c r="B1" t="s">
        <v>92</v>
      </c>
      <c r="C1" t="s">
        <v>93</v>
      </c>
      <c r="D1" t="s">
        <v>112</v>
      </c>
      <c r="E1" t="s">
        <v>50</v>
      </c>
      <c r="F1" t="s">
        <v>111</v>
      </c>
      <c r="G1" t="s">
        <v>113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N1" t="s">
        <v>115</v>
      </c>
    </row>
    <row r="2" spans="1:14" x14ac:dyDescent="0.3">
      <c r="A2" t="s">
        <v>226</v>
      </c>
      <c r="B2" t="str">
        <f>N2</f>
        <v>Household member (Ref: Anchor)</v>
      </c>
      <c r="C2" t="s">
        <v>262</v>
      </c>
      <c r="D2">
        <v>0.14299999999999999</v>
      </c>
      <c r="E2">
        <v>0.64500000000000002</v>
      </c>
      <c r="F2">
        <v>0.222</v>
      </c>
      <c r="G2">
        <v>0.82399999999999995</v>
      </c>
      <c r="H2">
        <f>(EXP($D2))*1</f>
        <v>1.1537298016660105</v>
      </c>
      <c r="I2">
        <f t="shared" ref="I2:I65" si="0">$D2-1.96*$E2</f>
        <v>-1.1212</v>
      </c>
      <c r="J2">
        <f t="shared" ref="J2:J65" si="1">EXP($I2)</f>
        <v>0.32588849369700357</v>
      </c>
      <c r="K2">
        <f t="shared" ref="K2:K65" si="2">$D2+1.96*$E2</f>
        <v>1.4072</v>
      </c>
      <c r="L2">
        <f t="shared" ref="L2:L65" si="3">EXP($K2)</f>
        <v>4.0845027701097099</v>
      </c>
      <c r="N2" t="s">
        <v>254</v>
      </c>
    </row>
    <row r="3" spans="1:14" x14ac:dyDescent="0.3">
      <c r="A3" t="s">
        <v>226</v>
      </c>
      <c r="B3" t="str">
        <f t="shared" ref="B3:B66" si="4">N3</f>
        <v>Age: Young tertile (Ref: Medium)</v>
      </c>
      <c r="C3" t="s">
        <v>262</v>
      </c>
      <c r="D3">
        <v>-0.56200000000000006</v>
      </c>
      <c r="E3">
        <v>0.59599999999999997</v>
      </c>
      <c r="F3">
        <v>-0.94399999999999995</v>
      </c>
      <c r="G3">
        <v>0.34499999999999997</v>
      </c>
      <c r="H3">
        <f t="shared" ref="H3:H66" si="5">(EXP($D3))*1</f>
        <v>0.57006778737801345</v>
      </c>
      <c r="I3">
        <f t="shared" si="0"/>
        <v>-1.7301599999999999</v>
      </c>
      <c r="J3">
        <f t="shared" si="1"/>
        <v>0.17725604673340206</v>
      </c>
      <c r="K3">
        <f t="shared" si="2"/>
        <v>0.60615999999999981</v>
      </c>
      <c r="L3">
        <f t="shared" si="3"/>
        <v>1.8333776939911037</v>
      </c>
      <c r="N3" t="s">
        <v>244</v>
      </c>
    </row>
    <row r="4" spans="1:14" x14ac:dyDescent="0.3">
      <c r="A4" t="s">
        <v>226</v>
      </c>
      <c r="B4" t="str">
        <f t="shared" si="4"/>
        <v>Age: Old tertile</v>
      </c>
      <c r="C4" t="s">
        <v>262</v>
      </c>
      <c r="D4">
        <v>0.54200000000000004</v>
      </c>
      <c r="E4">
        <v>0.878</v>
      </c>
      <c r="F4">
        <v>0.61799999999999999</v>
      </c>
      <c r="G4">
        <v>0.53700000000000003</v>
      </c>
      <c r="H4">
        <f t="shared" si="5"/>
        <v>1.7194423102121061</v>
      </c>
      <c r="I4">
        <f t="shared" si="0"/>
        <v>-1.1788799999999999</v>
      </c>
      <c r="J4">
        <f t="shared" si="1"/>
        <v>0.30762308358556029</v>
      </c>
      <c r="K4">
        <f t="shared" si="2"/>
        <v>2.26288</v>
      </c>
      <c r="L4">
        <f t="shared" si="3"/>
        <v>9.6107282447328064</v>
      </c>
      <c r="N4" t="s">
        <v>251</v>
      </c>
    </row>
    <row r="5" spans="1:14" x14ac:dyDescent="0.3">
      <c r="A5" t="s">
        <v>226</v>
      </c>
      <c r="B5" t="str">
        <f t="shared" si="4"/>
        <v>Gender: Female (Ref: Not female)</v>
      </c>
      <c r="C5" t="s">
        <v>262</v>
      </c>
      <c r="D5">
        <v>-2.577</v>
      </c>
      <c r="E5">
        <v>0.503</v>
      </c>
      <c r="F5">
        <v>-5.1269999999999998</v>
      </c>
      <c r="G5">
        <v>0</v>
      </c>
      <c r="H5">
        <f t="shared" si="5"/>
        <v>7.6001667359171035E-2</v>
      </c>
      <c r="I5">
        <f t="shared" si="0"/>
        <v>-3.5628799999999998</v>
      </c>
      <c r="J5">
        <f t="shared" si="1"/>
        <v>2.8357038727359157E-2</v>
      </c>
      <c r="K5">
        <f t="shared" si="2"/>
        <v>-1.5911200000000001</v>
      </c>
      <c r="L5">
        <f t="shared" si="3"/>
        <v>0.20369734290347802</v>
      </c>
      <c r="N5" t="s">
        <v>255</v>
      </c>
    </row>
    <row r="6" spans="1:14" x14ac:dyDescent="0.3">
      <c r="A6" t="s">
        <v>226</v>
      </c>
      <c r="B6" t="str">
        <f t="shared" si="4"/>
        <v>Migration (Ref: No)</v>
      </c>
      <c r="C6" t="s">
        <v>262</v>
      </c>
      <c r="D6">
        <v>-2.5419999999999998</v>
      </c>
      <c r="E6">
        <v>0.63900000000000001</v>
      </c>
      <c r="F6">
        <v>-3.9809999999999999</v>
      </c>
      <c r="G6">
        <v>0</v>
      </c>
      <c r="H6">
        <f t="shared" si="5"/>
        <v>7.8708824618790543E-2</v>
      </c>
      <c r="I6">
        <f t="shared" si="0"/>
        <v>-3.7944399999999998</v>
      </c>
      <c r="J6">
        <f t="shared" si="1"/>
        <v>2.2495499769970687E-2</v>
      </c>
      <c r="K6">
        <f t="shared" si="2"/>
        <v>-1.2895599999999998</v>
      </c>
      <c r="L6">
        <f t="shared" si="3"/>
        <v>0.2753919288844322</v>
      </c>
      <c r="N6" t="s">
        <v>253</v>
      </c>
    </row>
    <row r="7" spans="1:14" x14ac:dyDescent="0.3">
      <c r="A7" t="s">
        <v>226</v>
      </c>
      <c r="B7" t="str">
        <f t="shared" si="4"/>
        <v>Education: Tertiary (Ref: Non-tert.)</v>
      </c>
      <c r="C7" t="s">
        <v>262</v>
      </c>
      <c r="D7">
        <v>41.302999999999997</v>
      </c>
      <c r="E7">
        <v>1.3660000000000001</v>
      </c>
      <c r="F7">
        <v>30.228999999999999</v>
      </c>
      <c r="G7">
        <v>0</v>
      </c>
      <c r="H7">
        <f t="shared" si="5"/>
        <v>8.6629336086962483E+17</v>
      </c>
      <c r="I7">
        <f t="shared" si="0"/>
        <v>38.625639999999997</v>
      </c>
      <c r="J7">
        <f t="shared" si="1"/>
        <v>5.9552817334743088E+16</v>
      </c>
      <c r="K7">
        <f t="shared" si="2"/>
        <v>43.980359999999997</v>
      </c>
      <c r="L7">
        <f t="shared" si="3"/>
        <v>1.2601657162052844E+19</v>
      </c>
      <c r="N7" t="s">
        <v>252</v>
      </c>
    </row>
    <row r="8" spans="1:14" x14ac:dyDescent="0.3">
      <c r="A8" t="s">
        <v>226</v>
      </c>
      <c r="B8" t="str">
        <f t="shared" si="4"/>
        <v>Education: Missing</v>
      </c>
      <c r="C8" t="s">
        <v>262</v>
      </c>
      <c r="D8">
        <v>25.585999999999999</v>
      </c>
      <c r="E8">
        <v>0.46600000000000003</v>
      </c>
      <c r="F8">
        <v>54.92</v>
      </c>
      <c r="G8">
        <v>0</v>
      </c>
      <c r="H8">
        <f t="shared" si="5"/>
        <v>129377458023.36774</v>
      </c>
      <c r="I8">
        <f t="shared" si="0"/>
        <v>24.672639999999998</v>
      </c>
      <c r="J8">
        <f t="shared" si="1"/>
        <v>51902873932.130707</v>
      </c>
      <c r="K8">
        <f t="shared" si="2"/>
        <v>26.499359999999999</v>
      </c>
      <c r="L8">
        <f t="shared" si="3"/>
        <v>322497106161.71143</v>
      </c>
      <c r="N8" t="s">
        <v>250</v>
      </c>
    </row>
    <row r="9" spans="1:14" x14ac:dyDescent="0.3">
      <c r="A9" t="s">
        <v>226</v>
      </c>
      <c r="B9" t="str">
        <f t="shared" si="4"/>
        <v>Employment: Part-time</v>
      </c>
      <c r="C9" t="s">
        <v>262</v>
      </c>
      <c r="D9">
        <v>-14.362</v>
      </c>
      <c r="E9">
        <v>0.08</v>
      </c>
      <c r="F9">
        <v>-180.38499999999999</v>
      </c>
      <c r="G9">
        <v>0</v>
      </c>
      <c r="H9">
        <f t="shared" si="5"/>
        <v>5.7897878546586706E-7</v>
      </c>
      <c r="I9">
        <f t="shared" si="0"/>
        <v>-14.518800000000001</v>
      </c>
      <c r="J9">
        <f t="shared" si="1"/>
        <v>4.9495449890836166E-7</v>
      </c>
      <c r="K9">
        <f t="shared" si="2"/>
        <v>-14.2052</v>
      </c>
      <c r="L9">
        <f t="shared" si="3"/>
        <v>6.7726717255598511E-7</v>
      </c>
      <c r="N9" t="s">
        <v>248</v>
      </c>
    </row>
    <row r="10" spans="1:14" x14ac:dyDescent="0.3">
      <c r="A10" t="s">
        <v>226</v>
      </c>
      <c r="B10" t="str">
        <f t="shared" si="4"/>
        <v>Employment: None</v>
      </c>
      <c r="C10" t="s">
        <v>262</v>
      </c>
      <c r="D10">
        <v>-21.861000000000001</v>
      </c>
      <c r="E10">
        <v>8.5999999999999993E-2</v>
      </c>
      <c r="F10">
        <v>-253.47300000000001</v>
      </c>
      <c r="G10">
        <v>0</v>
      </c>
      <c r="H10">
        <f t="shared" si="5"/>
        <v>3.2054450117067739E-10</v>
      </c>
      <c r="I10">
        <f t="shared" si="0"/>
        <v>-22.02956</v>
      </c>
      <c r="J10">
        <f t="shared" si="1"/>
        <v>2.7082182055941076E-10</v>
      </c>
      <c r="K10">
        <f t="shared" si="2"/>
        <v>-21.692440000000001</v>
      </c>
      <c r="L10">
        <f t="shared" si="3"/>
        <v>3.793962281861929E-10</v>
      </c>
      <c r="N10" t="s">
        <v>249</v>
      </c>
    </row>
    <row r="11" spans="1:14" x14ac:dyDescent="0.3">
      <c r="A11" t="s">
        <v>226</v>
      </c>
      <c r="B11" t="str">
        <f t="shared" si="4"/>
        <v>Employment: Retired (Ref: Full)</v>
      </c>
      <c r="C11" t="s">
        <v>262</v>
      </c>
      <c r="D11">
        <v>2.1800000000000002</v>
      </c>
      <c r="E11">
        <v>1.6439999999999999</v>
      </c>
      <c r="F11">
        <v>1.3260000000000001</v>
      </c>
      <c r="G11">
        <v>0.185</v>
      </c>
      <c r="H11">
        <f t="shared" si="5"/>
        <v>8.8463062587208832</v>
      </c>
      <c r="I11">
        <f t="shared" si="0"/>
        <v>-1.0422399999999996</v>
      </c>
      <c r="J11">
        <f t="shared" si="1"/>
        <v>0.35266382955656483</v>
      </c>
      <c r="K11">
        <f t="shared" si="2"/>
        <v>5.4022399999999999</v>
      </c>
      <c r="L11">
        <f t="shared" si="3"/>
        <v>221.90292245588054</v>
      </c>
      <c r="N11" t="s">
        <v>256</v>
      </c>
    </row>
    <row r="12" spans="1:14" x14ac:dyDescent="0.3">
      <c r="A12" t="s">
        <v>226</v>
      </c>
      <c r="B12" t="str">
        <f t="shared" si="4"/>
        <v>Employment: Missing</v>
      </c>
      <c r="C12" t="s">
        <v>262</v>
      </c>
      <c r="D12">
        <v>20.452999999999999</v>
      </c>
      <c r="E12">
        <v>0.48199999999999998</v>
      </c>
      <c r="F12">
        <v>42.402000000000001</v>
      </c>
      <c r="G12">
        <v>0</v>
      </c>
      <c r="H12">
        <f t="shared" si="5"/>
        <v>763176586.83447564</v>
      </c>
      <c r="I12">
        <f t="shared" si="0"/>
        <v>19.508279999999999</v>
      </c>
      <c r="J12">
        <f t="shared" si="1"/>
        <v>296714216.64363682</v>
      </c>
      <c r="K12">
        <f t="shared" si="2"/>
        <v>21.39772</v>
      </c>
      <c r="L12">
        <f t="shared" si="3"/>
        <v>1962961226.7343669</v>
      </c>
      <c r="N12" t="s">
        <v>247</v>
      </c>
    </row>
    <row r="13" spans="1:14" x14ac:dyDescent="0.3">
      <c r="A13" t="s">
        <v>226</v>
      </c>
      <c r="B13" t="str">
        <f t="shared" si="4"/>
        <v>Child in household</v>
      </c>
      <c r="C13" t="s">
        <v>262</v>
      </c>
      <c r="D13">
        <v>-19.484999999999999</v>
      </c>
      <c r="E13">
        <v>6.8000000000000005E-2</v>
      </c>
      <c r="F13">
        <v>-286.36399999999998</v>
      </c>
      <c r="G13">
        <v>0</v>
      </c>
      <c r="H13">
        <f t="shared" si="5"/>
        <v>3.4496260606326207E-9</v>
      </c>
      <c r="I13">
        <f t="shared" si="0"/>
        <v>-19.618279999999999</v>
      </c>
      <c r="J13">
        <f t="shared" si="1"/>
        <v>3.0191817076714393E-9</v>
      </c>
      <c r="K13">
        <f t="shared" si="2"/>
        <v>-19.35172</v>
      </c>
      <c r="L13">
        <f t="shared" si="3"/>
        <v>3.9414388103767405E-9</v>
      </c>
      <c r="N13" t="s">
        <v>260</v>
      </c>
    </row>
    <row r="14" spans="1:14" x14ac:dyDescent="0.3">
      <c r="A14" t="s">
        <v>226</v>
      </c>
      <c r="B14" t="str">
        <f t="shared" si="4"/>
        <v>Child in household: Missing (Ref: No child)</v>
      </c>
      <c r="C14" t="s">
        <v>262</v>
      </c>
      <c r="D14">
        <v>3.2410000000000001</v>
      </c>
      <c r="E14">
        <v>1.093</v>
      </c>
      <c r="F14">
        <v>2.9649999999999999</v>
      </c>
      <c r="G14">
        <v>3.0000000000000001E-3</v>
      </c>
      <c r="H14">
        <f t="shared" si="5"/>
        <v>25.559268240216436</v>
      </c>
      <c r="I14">
        <f t="shared" si="0"/>
        <v>1.0987200000000001</v>
      </c>
      <c r="J14">
        <f t="shared" si="1"/>
        <v>3.0003231513988928</v>
      </c>
      <c r="K14">
        <f t="shared" si="2"/>
        <v>5.3832800000000001</v>
      </c>
      <c r="L14">
        <f t="shared" si="3"/>
        <v>217.73527717197672</v>
      </c>
      <c r="N14" t="s">
        <v>261</v>
      </c>
    </row>
    <row r="15" spans="1:14" x14ac:dyDescent="0.3">
      <c r="A15" t="s">
        <v>226</v>
      </c>
      <c r="B15" t="str">
        <f t="shared" si="4"/>
        <v>Income: Low tertile (Ref: Medium)</v>
      </c>
      <c r="C15" t="s">
        <v>262</v>
      </c>
      <c r="D15">
        <v>1.88</v>
      </c>
      <c r="E15">
        <v>8.3000000000000004E-2</v>
      </c>
      <c r="F15">
        <v>22.687999999999999</v>
      </c>
      <c r="G15">
        <v>0</v>
      </c>
      <c r="H15">
        <f t="shared" si="5"/>
        <v>6.553504862191148</v>
      </c>
      <c r="I15">
        <f t="shared" si="0"/>
        <v>1.71732</v>
      </c>
      <c r="J15">
        <f t="shared" si="1"/>
        <v>5.5695819652464706</v>
      </c>
      <c r="K15">
        <f t="shared" si="2"/>
        <v>2.0426799999999998</v>
      </c>
      <c r="L15">
        <f t="shared" si="3"/>
        <v>7.7112476747368275</v>
      </c>
      <c r="N15" t="s">
        <v>257</v>
      </c>
    </row>
    <row r="16" spans="1:14" x14ac:dyDescent="0.3">
      <c r="A16" t="s">
        <v>226</v>
      </c>
      <c r="B16" t="str">
        <f t="shared" si="4"/>
        <v>Income: High tertile</v>
      </c>
      <c r="C16" t="s">
        <v>262</v>
      </c>
      <c r="D16">
        <v>-1.7270000000000001</v>
      </c>
      <c r="E16">
        <v>7.5999999999999998E-2</v>
      </c>
      <c r="F16">
        <v>-22.587</v>
      </c>
      <c r="G16">
        <v>0</v>
      </c>
      <c r="H16">
        <f t="shared" si="5"/>
        <v>0.17781706177801082</v>
      </c>
      <c r="I16">
        <f t="shared" si="0"/>
        <v>-1.8759600000000001</v>
      </c>
      <c r="J16">
        <f t="shared" si="1"/>
        <v>0.15320781672011835</v>
      </c>
      <c r="K16">
        <f t="shared" si="2"/>
        <v>-1.5780400000000001</v>
      </c>
      <c r="L16">
        <f t="shared" si="3"/>
        <v>0.20637920529294318</v>
      </c>
      <c r="N16" t="s">
        <v>245</v>
      </c>
    </row>
    <row r="17" spans="1:14" x14ac:dyDescent="0.3">
      <c r="A17" t="s">
        <v>226</v>
      </c>
      <c r="B17" t="str">
        <f t="shared" si="4"/>
        <v>Income: Missing (Ref: Medium)</v>
      </c>
      <c r="C17" t="s">
        <v>262</v>
      </c>
      <c r="D17">
        <v>25.155999999999999</v>
      </c>
      <c r="E17">
        <v>9.5000000000000001E-2</v>
      </c>
      <c r="F17">
        <v>263.584</v>
      </c>
      <c r="G17">
        <v>0</v>
      </c>
      <c r="H17">
        <f t="shared" si="5"/>
        <v>84161213096.384857</v>
      </c>
      <c r="I17">
        <f t="shared" si="0"/>
        <v>24.969799999999999</v>
      </c>
      <c r="J17">
        <f t="shared" si="1"/>
        <v>69862858986.428391</v>
      </c>
      <c r="K17">
        <f t="shared" si="2"/>
        <v>25.342199999999998</v>
      </c>
      <c r="L17">
        <f t="shared" si="3"/>
        <v>101385913668.82184</v>
      </c>
      <c r="N17" t="s">
        <v>258</v>
      </c>
    </row>
    <row r="18" spans="1:14" x14ac:dyDescent="0.3">
      <c r="A18" t="s">
        <v>226</v>
      </c>
      <c r="B18" t="str">
        <f t="shared" si="4"/>
        <v>Panelconsent (Ref: No)</v>
      </c>
      <c r="C18" t="s">
        <v>262</v>
      </c>
      <c r="D18">
        <v>-34.340000000000003</v>
      </c>
      <c r="E18">
        <v>6.7000000000000004E-2</v>
      </c>
      <c r="F18">
        <v>-509.15899999999999</v>
      </c>
      <c r="G18">
        <v>0</v>
      </c>
      <c r="H18">
        <f t="shared" si="5"/>
        <v>1.2199091575042126E-15</v>
      </c>
      <c r="I18">
        <f t="shared" si="0"/>
        <v>-34.471320000000006</v>
      </c>
      <c r="J18">
        <f t="shared" si="1"/>
        <v>1.0697836105709495E-15</v>
      </c>
      <c r="K18">
        <f t="shared" si="2"/>
        <v>-34.208680000000001</v>
      </c>
      <c r="L18">
        <f t="shared" si="3"/>
        <v>1.391102217174919E-15</v>
      </c>
      <c r="N18" t="s">
        <v>259</v>
      </c>
    </row>
    <row r="19" spans="1:14" x14ac:dyDescent="0.3">
      <c r="A19" t="s">
        <v>226</v>
      </c>
      <c r="B19" t="str">
        <f t="shared" si="4"/>
        <v>Household member (Ref: Anchor)</v>
      </c>
      <c r="C19" t="s">
        <v>263</v>
      </c>
      <c r="D19">
        <v>3.4000000000000002E-2</v>
      </c>
      <c r="E19">
        <v>0.64700000000000002</v>
      </c>
      <c r="F19">
        <v>5.2999999999999999E-2</v>
      </c>
      <c r="G19">
        <v>0.95699999999999996</v>
      </c>
      <c r="H19">
        <f t="shared" si="5"/>
        <v>1.0345846067281179</v>
      </c>
      <c r="I19">
        <f t="shared" si="0"/>
        <v>-1.2341199999999999</v>
      </c>
      <c r="J19">
        <f t="shared" si="1"/>
        <v>0.29109080960299522</v>
      </c>
      <c r="K19">
        <f t="shared" si="2"/>
        <v>1.3021199999999999</v>
      </c>
      <c r="L19">
        <f t="shared" si="3"/>
        <v>3.6770838280280791</v>
      </c>
      <c r="N19" t="s">
        <v>254</v>
      </c>
    </row>
    <row r="20" spans="1:14" x14ac:dyDescent="0.3">
      <c r="A20" t="s">
        <v>226</v>
      </c>
      <c r="B20" t="str">
        <f t="shared" si="4"/>
        <v>Age: Young tertile (Ref: Medium)</v>
      </c>
      <c r="C20" t="s">
        <v>263</v>
      </c>
      <c r="D20">
        <v>-0.751</v>
      </c>
      <c r="E20">
        <v>0.59599999999999997</v>
      </c>
      <c r="F20">
        <v>-1.26</v>
      </c>
      <c r="G20">
        <v>0.20799999999999999</v>
      </c>
      <c r="H20">
        <f t="shared" si="5"/>
        <v>0.47189442229284201</v>
      </c>
      <c r="I20">
        <f t="shared" si="0"/>
        <v>-1.9191599999999998</v>
      </c>
      <c r="J20">
        <f t="shared" si="1"/>
        <v>0.14673016371596137</v>
      </c>
      <c r="K20">
        <f t="shared" si="2"/>
        <v>0.41715999999999986</v>
      </c>
      <c r="L20">
        <f t="shared" si="3"/>
        <v>1.5176453167609423</v>
      </c>
      <c r="N20" t="s">
        <v>244</v>
      </c>
    </row>
    <row r="21" spans="1:14" x14ac:dyDescent="0.3">
      <c r="A21" t="s">
        <v>226</v>
      </c>
      <c r="B21" t="str">
        <f t="shared" si="4"/>
        <v>Age: Old tertile</v>
      </c>
      <c r="C21" t="s">
        <v>263</v>
      </c>
      <c r="D21">
        <v>0.55500000000000005</v>
      </c>
      <c r="E21">
        <v>0.871</v>
      </c>
      <c r="F21">
        <v>0.63800000000000001</v>
      </c>
      <c r="G21">
        <v>0.52400000000000002</v>
      </c>
      <c r="H21">
        <f t="shared" si="5"/>
        <v>1.7419409847740754</v>
      </c>
      <c r="I21">
        <f t="shared" si="0"/>
        <v>-1.1521599999999999</v>
      </c>
      <c r="J21">
        <f t="shared" si="1"/>
        <v>0.31595357207590902</v>
      </c>
      <c r="K21">
        <f t="shared" si="2"/>
        <v>2.2621600000000002</v>
      </c>
      <c r="L21">
        <f t="shared" si="3"/>
        <v>9.6038110108996051</v>
      </c>
      <c r="N21" t="s">
        <v>251</v>
      </c>
    </row>
    <row r="22" spans="1:14" x14ac:dyDescent="0.3">
      <c r="A22" t="s">
        <v>226</v>
      </c>
      <c r="B22" t="str">
        <f t="shared" si="4"/>
        <v>Gender: Female (Ref: Not female)</v>
      </c>
      <c r="C22" t="s">
        <v>263</v>
      </c>
      <c r="D22">
        <v>-2.754</v>
      </c>
      <c r="E22">
        <v>0.502</v>
      </c>
      <c r="F22">
        <v>-5.4820000000000002</v>
      </c>
      <c r="G22">
        <v>0</v>
      </c>
      <c r="H22">
        <f t="shared" si="5"/>
        <v>6.3672660503554565E-2</v>
      </c>
      <c r="I22">
        <f t="shared" si="0"/>
        <v>-3.7379199999999999</v>
      </c>
      <c r="J22">
        <f t="shared" si="1"/>
        <v>2.380356308633939E-2</v>
      </c>
      <c r="K22">
        <f t="shared" si="2"/>
        <v>-1.7700800000000001</v>
      </c>
      <c r="L22">
        <f t="shared" si="3"/>
        <v>0.17031936273135442</v>
      </c>
      <c r="N22" t="s">
        <v>255</v>
      </c>
    </row>
    <row r="23" spans="1:14" x14ac:dyDescent="0.3">
      <c r="A23" t="s">
        <v>226</v>
      </c>
      <c r="B23" t="str">
        <f t="shared" si="4"/>
        <v>Migration (Ref: No)</v>
      </c>
      <c r="C23" t="s">
        <v>263</v>
      </c>
      <c r="D23">
        <v>-2.3719999999999999</v>
      </c>
      <c r="E23">
        <v>0.64100000000000001</v>
      </c>
      <c r="F23">
        <v>-3.702</v>
      </c>
      <c r="G23">
        <v>0</v>
      </c>
      <c r="H23">
        <f t="shared" si="5"/>
        <v>9.3293951662376251E-2</v>
      </c>
      <c r="I23">
        <f t="shared" si="0"/>
        <v>-3.6283599999999998</v>
      </c>
      <c r="J23">
        <f t="shared" si="1"/>
        <v>2.6559706629791124E-2</v>
      </c>
      <c r="K23">
        <f t="shared" si="2"/>
        <v>-1.11564</v>
      </c>
      <c r="L23">
        <f t="shared" si="3"/>
        <v>0.32770548026381741</v>
      </c>
      <c r="N23" t="s">
        <v>253</v>
      </c>
    </row>
    <row r="24" spans="1:14" x14ac:dyDescent="0.3">
      <c r="A24" t="s">
        <v>226</v>
      </c>
      <c r="B24" t="str">
        <f t="shared" si="4"/>
        <v>Education: Tertiary (Ref: Non-tert.)</v>
      </c>
      <c r="C24" t="s">
        <v>263</v>
      </c>
      <c r="D24">
        <v>41.207000000000001</v>
      </c>
      <c r="E24">
        <v>1.3660000000000001</v>
      </c>
      <c r="F24">
        <v>30.167000000000002</v>
      </c>
      <c r="G24">
        <v>0</v>
      </c>
      <c r="H24">
        <f t="shared" si="5"/>
        <v>7.8699634570927898E+17</v>
      </c>
      <c r="I24">
        <f t="shared" si="0"/>
        <v>38.529640000000001</v>
      </c>
      <c r="J24">
        <f t="shared" si="1"/>
        <v>5.4101591604126952E+16</v>
      </c>
      <c r="K24">
        <f t="shared" si="2"/>
        <v>43.884360000000001</v>
      </c>
      <c r="L24">
        <f t="shared" si="3"/>
        <v>1.1448152074559539E+19</v>
      </c>
      <c r="N24" t="s">
        <v>252</v>
      </c>
    </row>
    <row r="25" spans="1:14" x14ac:dyDescent="0.3">
      <c r="A25" t="s">
        <v>226</v>
      </c>
      <c r="B25" t="str">
        <f t="shared" si="4"/>
        <v>Education: Missing</v>
      </c>
      <c r="C25" t="s">
        <v>263</v>
      </c>
      <c r="D25">
        <v>25.584</v>
      </c>
      <c r="E25">
        <v>0</v>
      </c>
      <c r="G25">
        <v>0</v>
      </c>
      <c r="H25">
        <f t="shared" si="5"/>
        <v>129118961689.82013</v>
      </c>
      <c r="I25">
        <f t="shared" si="0"/>
        <v>25.584</v>
      </c>
      <c r="J25">
        <f t="shared" si="1"/>
        <v>129118961689.82013</v>
      </c>
      <c r="K25">
        <f t="shared" si="2"/>
        <v>25.584</v>
      </c>
      <c r="L25">
        <f t="shared" si="3"/>
        <v>129118961689.82013</v>
      </c>
      <c r="N25" t="s">
        <v>250</v>
      </c>
    </row>
    <row r="26" spans="1:14" x14ac:dyDescent="0.3">
      <c r="A26" t="s">
        <v>226</v>
      </c>
      <c r="B26" t="str">
        <f t="shared" si="4"/>
        <v>Employment: Part-time</v>
      </c>
      <c r="C26" t="s">
        <v>263</v>
      </c>
      <c r="D26">
        <v>-14.486000000000001</v>
      </c>
      <c r="E26">
        <v>0</v>
      </c>
      <c r="G26">
        <v>0</v>
      </c>
      <c r="H26">
        <f t="shared" si="5"/>
        <v>5.1145818737932575E-7</v>
      </c>
      <c r="I26">
        <f t="shared" si="0"/>
        <v>-14.486000000000001</v>
      </c>
      <c r="J26">
        <f t="shared" si="1"/>
        <v>5.1145818737932575E-7</v>
      </c>
      <c r="K26">
        <f t="shared" si="2"/>
        <v>-14.486000000000001</v>
      </c>
      <c r="L26">
        <f t="shared" si="3"/>
        <v>5.1145818737932575E-7</v>
      </c>
      <c r="N26" t="s">
        <v>248</v>
      </c>
    </row>
    <row r="27" spans="1:14" x14ac:dyDescent="0.3">
      <c r="A27" t="s">
        <v>226</v>
      </c>
      <c r="B27" t="str">
        <f t="shared" si="4"/>
        <v>Employment: None</v>
      </c>
      <c r="C27" t="s">
        <v>263</v>
      </c>
      <c r="D27">
        <v>-22.212</v>
      </c>
      <c r="E27">
        <v>0</v>
      </c>
      <c r="G27">
        <v>0</v>
      </c>
      <c r="H27">
        <f t="shared" si="5"/>
        <v>2.2565812121191116E-10</v>
      </c>
      <c r="I27">
        <f t="shared" si="0"/>
        <v>-22.212</v>
      </c>
      <c r="J27">
        <f t="shared" si="1"/>
        <v>2.2565812121191116E-10</v>
      </c>
      <c r="K27">
        <f t="shared" si="2"/>
        <v>-22.212</v>
      </c>
      <c r="L27">
        <f t="shared" si="3"/>
        <v>2.2565812121191116E-10</v>
      </c>
      <c r="N27" t="s">
        <v>249</v>
      </c>
    </row>
    <row r="28" spans="1:14" x14ac:dyDescent="0.3">
      <c r="A28" t="s">
        <v>226</v>
      </c>
      <c r="B28" t="str">
        <f t="shared" si="4"/>
        <v>Employment: Retired (Ref: Full)</v>
      </c>
      <c r="C28" t="s">
        <v>263</v>
      </c>
      <c r="D28">
        <v>1.7729999999999999</v>
      </c>
      <c r="E28">
        <v>1.641</v>
      </c>
      <c r="F28">
        <v>1.081</v>
      </c>
      <c r="G28">
        <v>0.28000000000000003</v>
      </c>
      <c r="H28">
        <f t="shared" si="5"/>
        <v>5.8884923667455409</v>
      </c>
      <c r="I28">
        <f t="shared" si="0"/>
        <v>-1.44336</v>
      </c>
      <c r="J28">
        <f t="shared" si="1"/>
        <v>0.23613301732612044</v>
      </c>
      <c r="K28">
        <f t="shared" si="2"/>
        <v>4.9893599999999996</v>
      </c>
      <c r="L28">
        <f t="shared" si="3"/>
        <v>146.8424142708183</v>
      </c>
      <c r="N28" t="s">
        <v>256</v>
      </c>
    </row>
    <row r="29" spans="1:14" x14ac:dyDescent="0.3">
      <c r="A29" t="s">
        <v>226</v>
      </c>
      <c r="B29" t="str">
        <f t="shared" si="4"/>
        <v>Employment: Missing</v>
      </c>
      <c r="C29" t="s">
        <v>263</v>
      </c>
      <c r="D29">
        <v>20.901</v>
      </c>
      <c r="E29">
        <v>0</v>
      </c>
      <c r="G29">
        <v>0</v>
      </c>
      <c r="H29">
        <f t="shared" si="5"/>
        <v>1194507734.7348917</v>
      </c>
      <c r="I29">
        <f t="shared" si="0"/>
        <v>20.901</v>
      </c>
      <c r="J29">
        <f t="shared" si="1"/>
        <v>1194507734.7348917</v>
      </c>
      <c r="K29">
        <f t="shared" si="2"/>
        <v>20.901</v>
      </c>
      <c r="L29">
        <f t="shared" si="3"/>
        <v>1194507734.7348917</v>
      </c>
      <c r="N29" t="s">
        <v>247</v>
      </c>
    </row>
    <row r="30" spans="1:14" x14ac:dyDescent="0.3">
      <c r="A30" t="s">
        <v>226</v>
      </c>
      <c r="B30" t="str">
        <f t="shared" si="4"/>
        <v>Child in household</v>
      </c>
      <c r="C30" t="s">
        <v>263</v>
      </c>
      <c r="D30">
        <v>-19.334</v>
      </c>
      <c r="E30">
        <v>0</v>
      </c>
      <c r="G30">
        <v>0</v>
      </c>
      <c r="H30">
        <f t="shared" si="5"/>
        <v>4.0119035801476914E-9</v>
      </c>
      <c r="I30">
        <f t="shared" si="0"/>
        <v>-19.334</v>
      </c>
      <c r="J30">
        <f t="shared" si="1"/>
        <v>4.0119035801476914E-9</v>
      </c>
      <c r="K30">
        <f t="shared" si="2"/>
        <v>-19.334</v>
      </c>
      <c r="L30">
        <f t="shared" si="3"/>
        <v>4.0119035801476914E-9</v>
      </c>
      <c r="N30" t="s">
        <v>260</v>
      </c>
    </row>
    <row r="31" spans="1:14" x14ac:dyDescent="0.3">
      <c r="A31" t="s">
        <v>226</v>
      </c>
      <c r="B31" t="str">
        <f t="shared" si="4"/>
        <v>Child in household: Missing (Ref: No child)</v>
      </c>
      <c r="C31" t="s">
        <v>263</v>
      </c>
      <c r="D31">
        <v>3.7890000000000001</v>
      </c>
      <c r="E31">
        <v>1.0840000000000001</v>
      </c>
      <c r="F31">
        <v>3.4969999999999999</v>
      </c>
      <c r="G31">
        <v>0</v>
      </c>
      <c r="H31">
        <f t="shared" si="5"/>
        <v>44.212165996533308</v>
      </c>
      <c r="I31">
        <f t="shared" si="0"/>
        <v>1.6643599999999998</v>
      </c>
      <c r="J31">
        <f t="shared" si="1"/>
        <v>5.2822915011558988</v>
      </c>
      <c r="K31">
        <f t="shared" si="2"/>
        <v>5.9136400000000009</v>
      </c>
      <c r="L31">
        <f t="shared" si="3"/>
        <v>370.05069138597815</v>
      </c>
      <c r="N31" t="s">
        <v>261</v>
      </c>
    </row>
    <row r="32" spans="1:14" x14ac:dyDescent="0.3">
      <c r="A32" t="s">
        <v>226</v>
      </c>
      <c r="B32" t="str">
        <f t="shared" si="4"/>
        <v>Income: Low tertile (Ref: Medium)</v>
      </c>
      <c r="C32" t="s">
        <v>263</v>
      </c>
      <c r="D32">
        <v>1.992</v>
      </c>
      <c r="E32">
        <v>0</v>
      </c>
      <c r="G32">
        <v>0</v>
      </c>
      <c r="H32">
        <f t="shared" si="5"/>
        <v>7.3301794706606342</v>
      </c>
      <c r="I32">
        <f t="shared" si="0"/>
        <v>1.992</v>
      </c>
      <c r="J32">
        <f t="shared" si="1"/>
        <v>7.3301794706606342</v>
      </c>
      <c r="K32">
        <f t="shared" si="2"/>
        <v>1.992</v>
      </c>
      <c r="L32">
        <f t="shared" si="3"/>
        <v>7.3301794706606342</v>
      </c>
      <c r="N32" t="s">
        <v>257</v>
      </c>
    </row>
    <row r="33" spans="1:14" x14ac:dyDescent="0.3">
      <c r="A33" t="s">
        <v>226</v>
      </c>
      <c r="B33" t="str">
        <f t="shared" si="4"/>
        <v>Income: High tertile</v>
      </c>
      <c r="C33" t="s">
        <v>263</v>
      </c>
      <c r="D33">
        <v>-1.8149999999999999</v>
      </c>
      <c r="E33">
        <v>0</v>
      </c>
      <c r="G33">
        <v>0</v>
      </c>
      <c r="H33">
        <f t="shared" si="5"/>
        <v>0.16283790839019696</v>
      </c>
      <c r="I33">
        <f t="shared" si="0"/>
        <v>-1.8149999999999999</v>
      </c>
      <c r="J33">
        <f t="shared" si="1"/>
        <v>0.16283790839019696</v>
      </c>
      <c r="K33">
        <f t="shared" si="2"/>
        <v>-1.8149999999999999</v>
      </c>
      <c r="L33">
        <f t="shared" si="3"/>
        <v>0.16283790839019696</v>
      </c>
      <c r="N33" t="s">
        <v>245</v>
      </c>
    </row>
    <row r="34" spans="1:14" x14ac:dyDescent="0.3">
      <c r="A34" t="s">
        <v>226</v>
      </c>
      <c r="B34" t="str">
        <f t="shared" si="4"/>
        <v>Income: Missing (Ref: Medium)</v>
      </c>
      <c r="C34" t="s">
        <v>263</v>
      </c>
      <c r="D34">
        <v>24.974</v>
      </c>
      <c r="E34">
        <v>0</v>
      </c>
      <c r="G34">
        <v>0</v>
      </c>
      <c r="H34">
        <f t="shared" si="5"/>
        <v>70156900048.160858</v>
      </c>
      <c r="I34">
        <f t="shared" si="0"/>
        <v>24.974</v>
      </c>
      <c r="J34">
        <f t="shared" si="1"/>
        <v>70156900048.160858</v>
      </c>
      <c r="K34">
        <f t="shared" si="2"/>
        <v>24.974</v>
      </c>
      <c r="L34">
        <f t="shared" si="3"/>
        <v>70156900048.160858</v>
      </c>
      <c r="N34" t="s">
        <v>258</v>
      </c>
    </row>
    <row r="35" spans="1:14" x14ac:dyDescent="0.3">
      <c r="A35" t="s">
        <v>226</v>
      </c>
      <c r="B35" t="str">
        <f t="shared" si="4"/>
        <v>Panelconsent (Ref: No)</v>
      </c>
      <c r="C35" t="s">
        <v>263</v>
      </c>
      <c r="D35">
        <v>-34.521000000000001</v>
      </c>
      <c r="E35">
        <v>0</v>
      </c>
      <c r="G35">
        <v>0</v>
      </c>
      <c r="H35">
        <f t="shared" si="5"/>
        <v>1.0179353354183087E-15</v>
      </c>
      <c r="I35">
        <f t="shared" si="0"/>
        <v>-34.521000000000001</v>
      </c>
      <c r="J35">
        <f t="shared" si="1"/>
        <v>1.0179353354183087E-15</v>
      </c>
      <c r="K35">
        <f t="shared" si="2"/>
        <v>-34.521000000000001</v>
      </c>
      <c r="L35">
        <f t="shared" si="3"/>
        <v>1.0179353354183087E-15</v>
      </c>
      <c r="N35" t="s">
        <v>259</v>
      </c>
    </row>
    <row r="36" spans="1:14" x14ac:dyDescent="0.3">
      <c r="A36" t="s">
        <v>226</v>
      </c>
      <c r="B36" t="str">
        <f t="shared" si="4"/>
        <v>Household member (Ref: Anchor)</v>
      </c>
      <c r="C36" t="s">
        <v>223</v>
      </c>
      <c r="D36">
        <v>-0.109</v>
      </c>
      <c r="E36">
        <v>6.7000000000000004E-2</v>
      </c>
      <c r="F36">
        <v>-1.6240000000000001</v>
      </c>
      <c r="G36">
        <v>0.104</v>
      </c>
      <c r="H36">
        <f t="shared" si="5"/>
        <v>0.89673041749823545</v>
      </c>
      <c r="I36">
        <f t="shared" si="0"/>
        <v>-0.24031999999999998</v>
      </c>
      <c r="J36">
        <f t="shared" si="1"/>
        <v>0.78637618042206292</v>
      </c>
      <c r="K36">
        <f t="shared" si="2"/>
        <v>2.2319999999999993E-2</v>
      </c>
      <c r="L36">
        <f t="shared" si="3"/>
        <v>1.0225709548259339</v>
      </c>
      <c r="N36" t="s">
        <v>254</v>
      </c>
    </row>
    <row r="37" spans="1:14" x14ac:dyDescent="0.3">
      <c r="A37" t="s">
        <v>226</v>
      </c>
      <c r="B37" t="str">
        <f t="shared" si="4"/>
        <v>Age: Young tertile (Ref: Medium)</v>
      </c>
      <c r="C37" t="s">
        <v>223</v>
      </c>
      <c r="D37">
        <v>-0.189</v>
      </c>
      <c r="E37">
        <v>6.4000000000000001E-2</v>
      </c>
      <c r="F37">
        <v>-2.9649999999999999</v>
      </c>
      <c r="G37">
        <v>3.0000000000000001E-3</v>
      </c>
      <c r="H37">
        <f t="shared" si="5"/>
        <v>0.82778650669473364</v>
      </c>
      <c r="I37">
        <f t="shared" si="0"/>
        <v>-0.31444</v>
      </c>
      <c r="J37">
        <f t="shared" si="1"/>
        <v>0.73019767049090634</v>
      </c>
      <c r="K37">
        <f t="shared" si="2"/>
        <v>-6.3560000000000005E-2</v>
      </c>
      <c r="L37">
        <f t="shared" si="3"/>
        <v>0.9384178125427256</v>
      </c>
      <c r="N37" t="s">
        <v>244</v>
      </c>
    </row>
    <row r="38" spans="1:14" x14ac:dyDescent="0.3">
      <c r="A38" t="s">
        <v>226</v>
      </c>
      <c r="B38" t="str">
        <f t="shared" si="4"/>
        <v>Age: Old tertile</v>
      </c>
      <c r="C38" t="s">
        <v>223</v>
      </c>
      <c r="D38">
        <v>1.2999999999999999E-2</v>
      </c>
      <c r="E38">
        <v>0.121</v>
      </c>
      <c r="F38">
        <v>0.109</v>
      </c>
      <c r="G38">
        <v>0.91300000000000003</v>
      </c>
      <c r="H38">
        <f t="shared" si="5"/>
        <v>1.0130848673598092</v>
      </c>
      <c r="I38">
        <f t="shared" si="0"/>
        <v>-0.22415999999999997</v>
      </c>
      <c r="J38">
        <f t="shared" si="1"/>
        <v>0.79918725417855407</v>
      </c>
      <c r="K38">
        <f t="shared" si="2"/>
        <v>0.25015999999999999</v>
      </c>
      <c r="L38">
        <f t="shared" si="3"/>
        <v>1.2842308771908135</v>
      </c>
      <c r="N38" t="s">
        <v>251</v>
      </c>
    </row>
    <row r="39" spans="1:14" x14ac:dyDescent="0.3">
      <c r="A39" t="s">
        <v>226</v>
      </c>
      <c r="B39" t="str">
        <f t="shared" si="4"/>
        <v>Gender: Female (Ref: Not female)</v>
      </c>
      <c r="C39" t="s">
        <v>223</v>
      </c>
      <c r="D39">
        <v>-0.17799999999999999</v>
      </c>
      <c r="E39">
        <v>5.8999999999999997E-2</v>
      </c>
      <c r="F39">
        <v>-3.0310000000000001</v>
      </c>
      <c r="G39">
        <v>2E-3</v>
      </c>
      <c r="H39">
        <f t="shared" si="5"/>
        <v>0.83694242348876813</v>
      </c>
      <c r="I39">
        <f t="shared" si="0"/>
        <v>-0.29364000000000001</v>
      </c>
      <c r="J39">
        <f t="shared" si="1"/>
        <v>0.74554483927992066</v>
      </c>
      <c r="K39">
        <f t="shared" si="2"/>
        <v>-6.2359999999999999E-2</v>
      </c>
      <c r="L39">
        <f t="shared" si="3"/>
        <v>0.93954458984894729</v>
      </c>
      <c r="N39" t="s">
        <v>255</v>
      </c>
    </row>
    <row r="40" spans="1:14" x14ac:dyDescent="0.3">
      <c r="A40" t="s">
        <v>226</v>
      </c>
      <c r="B40" t="str">
        <f t="shared" si="4"/>
        <v>Migration (Ref: No)</v>
      </c>
      <c r="C40" t="s">
        <v>223</v>
      </c>
      <c r="D40">
        <v>0.17100000000000001</v>
      </c>
      <c r="E40">
        <v>7.0000000000000007E-2</v>
      </c>
      <c r="F40">
        <v>2.4380000000000002</v>
      </c>
      <c r="G40">
        <v>1.4999999999999999E-2</v>
      </c>
      <c r="H40">
        <f t="shared" si="5"/>
        <v>1.1864907490217118</v>
      </c>
      <c r="I40">
        <f t="shared" si="0"/>
        <v>3.3799999999999997E-2</v>
      </c>
      <c r="J40">
        <f t="shared" si="1"/>
        <v>1.034377710497085</v>
      </c>
      <c r="K40">
        <f t="shared" si="2"/>
        <v>0.30820000000000003</v>
      </c>
      <c r="L40">
        <f t="shared" si="3"/>
        <v>1.3609731563507717</v>
      </c>
      <c r="N40" t="s">
        <v>253</v>
      </c>
    </row>
    <row r="41" spans="1:14" x14ac:dyDescent="0.3">
      <c r="A41" t="s">
        <v>226</v>
      </c>
      <c r="B41" t="str">
        <f t="shared" si="4"/>
        <v>Education: Tertiary (Ref: Non-tert.)</v>
      </c>
      <c r="C41" t="s">
        <v>223</v>
      </c>
      <c r="D41">
        <v>-9.6000000000000002E-2</v>
      </c>
      <c r="E41">
        <v>0.06</v>
      </c>
      <c r="F41">
        <v>-1.6140000000000001</v>
      </c>
      <c r="G41">
        <v>0.107</v>
      </c>
      <c r="H41">
        <f t="shared" si="5"/>
        <v>0.90846401606870619</v>
      </c>
      <c r="I41">
        <f t="shared" si="0"/>
        <v>-0.21360000000000001</v>
      </c>
      <c r="J41">
        <f t="shared" si="1"/>
        <v>0.80767138897317392</v>
      </c>
      <c r="K41">
        <f t="shared" si="2"/>
        <v>2.1599999999999994E-2</v>
      </c>
      <c r="L41">
        <f t="shared" si="3"/>
        <v>1.0218349687252499</v>
      </c>
      <c r="N41" t="s">
        <v>252</v>
      </c>
    </row>
    <row r="42" spans="1:14" x14ac:dyDescent="0.3">
      <c r="A42" t="s">
        <v>226</v>
      </c>
      <c r="B42" t="str">
        <f t="shared" si="4"/>
        <v>Education: Missing</v>
      </c>
      <c r="C42" t="s">
        <v>223</v>
      </c>
      <c r="D42">
        <v>-2E-3</v>
      </c>
      <c r="E42">
        <v>0.46600000000000003</v>
      </c>
      <c r="F42">
        <v>-5.0000000000000001E-3</v>
      </c>
      <c r="G42">
        <v>0.996</v>
      </c>
      <c r="H42">
        <f t="shared" si="5"/>
        <v>0.99800199866733308</v>
      </c>
      <c r="I42">
        <f t="shared" si="0"/>
        <v>-0.91536000000000006</v>
      </c>
      <c r="J42">
        <f t="shared" si="1"/>
        <v>0.4003724660557893</v>
      </c>
      <c r="K42">
        <f t="shared" si="2"/>
        <v>0.91136000000000006</v>
      </c>
      <c r="L42">
        <f t="shared" si="3"/>
        <v>2.4877035105735872</v>
      </c>
      <c r="N42" t="s">
        <v>250</v>
      </c>
    </row>
    <row r="43" spans="1:14" x14ac:dyDescent="0.3">
      <c r="A43" t="s">
        <v>226</v>
      </c>
      <c r="B43" t="str">
        <f t="shared" si="4"/>
        <v>Employment: Part-time</v>
      </c>
      <c r="C43" t="s">
        <v>223</v>
      </c>
      <c r="D43">
        <v>-0.124</v>
      </c>
      <c r="E43">
        <v>0.08</v>
      </c>
      <c r="F43">
        <v>-1.5549999999999999</v>
      </c>
      <c r="G43">
        <v>0.12</v>
      </c>
      <c r="H43">
        <f t="shared" si="5"/>
        <v>0.8833798408827509</v>
      </c>
      <c r="I43">
        <f t="shared" si="0"/>
        <v>-0.28079999999999999</v>
      </c>
      <c r="J43">
        <f t="shared" si="1"/>
        <v>0.75517935624887755</v>
      </c>
      <c r="K43">
        <f t="shared" si="2"/>
        <v>3.2799999999999996E-2</v>
      </c>
      <c r="L43">
        <f t="shared" si="3"/>
        <v>1.03334384980309</v>
      </c>
      <c r="N43" t="s">
        <v>248</v>
      </c>
    </row>
    <row r="44" spans="1:14" x14ac:dyDescent="0.3">
      <c r="A44" t="s">
        <v>226</v>
      </c>
      <c r="B44" t="str">
        <f t="shared" si="4"/>
        <v>Employment: None</v>
      </c>
      <c r="C44" t="s">
        <v>223</v>
      </c>
      <c r="D44">
        <v>-0.35099999999999998</v>
      </c>
      <c r="E44">
        <v>8.5999999999999993E-2</v>
      </c>
      <c r="F44">
        <v>-4.0709999999999997</v>
      </c>
      <c r="G44">
        <v>0</v>
      </c>
      <c r="H44">
        <f t="shared" si="5"/>
        <v>0.70398375385562095</v>
      </c>
      <c r="I44">
        <f t="shared" si="0"/>
        <v>-0.51956000000000002</v>
      </c>
      <c r="J44">
        <f t="shared" si="1"/>
        <v>0.59478219456933179</v>
      </c>
      <c r="K44">
        <f t="shared" si="2"/>
        <v>-0.18243999999999999</v>
      </c>
      <c r="L44">
        <f t="shared" si="3"/>
        <v>0.83323463650672858</v>
      </c>
      <c r="N44" t="s">
        <v>249</v>
      </c>
    </row>
    <row r="45" spans="1:14" x14ac:dyDescent="0.3">
      <c r="A45" t="s">
        <v>226</v>
      </c>
      <c r="B45" t="str">
        <f t="shared" si="4"/>
        <v>Employment: Retired (Ref: Full)</v>
      </c>
      <c r="C45" t="s">
        <v>223</v>
      </c>
      <c r="D45">
        <v>-0.40699999999999997</v>
      </c>
      <c r="E45">
        <v>0.13300000000000001</v>
      </c>
      <c r="F45">
        <v>-3.0649999999999999</v>
      </c>
      <c r="G45">
        <v>2E-3</v>
      </c>
      <c r="H45">
        <f t="shared" si="5"/>
        <v>0.66564419030152122</v>
      </c>
      <c r="I45">
        <f t="shared" si="0"/>
        <v>-0.66768000000000005</v>
      </c>
      <c r="J45">
        <f t="shared" si="1"/>
        <v>0.51289711986271491</v>
      </c>
      <c r="K45">
        <f t="shared" si="2"/>
        <v>-0.14631999999999995</v>
      </c>
      <c r="L45">
        <f t="shared" si="3"/>
        <v>0.86388121695977904</v>
      </c>
      <c r="N45" t="s">
        <v>256</v>
      </c>
    </row>
    <row r="46" spans="1:14" x14ac:dyDescent="0.3">
      <c r="A46" t="s">
        <v>226</v>
      </c>
      <c r="B46" t="str">
        <f t="shared" si="4"/>
        <v>Employment: Missing</v>
      </c>
      <c r="C46" t="s">
        <v>223</v>
      </c>
      <c r="D46">
        <v>0.44800000000000001</v>
      </c>
      <c r="E46">
        <v>0.48199999999999998</v>
      </c>
      <c r="F46">
        <v>0.92900000000000005</v>
      </c>
      <c r="G46">
        <v>0.35299999999999998</v>
      </c>
      <c r="H46">
        <f t="shared" si="5"/>
        <v>1.5651786956535216</v>
      </c>
      <c r="I46">
        <f t="shared" si="0"/>
        <v>-0.49671999999999999</v>
      </c>
      <c r="J46">
        <f t="shared" si="1"/>
        <v>0.60852334649630624</v>
      </c>
      <c r="K46">
        <f t="shared" si="2"/>
        <v>1.39272</v>
      </c>
      <c r="L46">
        <f t="shared" si="3"/>
        <v>4.0257853103463948</v>
      </c>
      <c r="N46" t="s">
        <v>247</v>
      </c>
    </row>
    <row r="47" spans="1:14" x14ac:dyDescent="0.3">
      <c r="A47" t="s">
        <v>226</v>
      </c>
      <c r="B47" t="str">
        <f t="shared" si="4"/>
        <v>Child in household</v>
      </c>
      <c r="C47" t="s">
        <v>223</v>
      </c>
      <c r="D47">
        <v>0.151</v>
      </c>
      <c r="E47">
        <v>6.8000000000000005E-2</v>
      </c>
      <c r="F47">
        <v>2.218</v>
      </c>
      <c r="G47">
        <v>2.7E-2</v>
      </c>
      <c r="H47">
        <f t="shared" si="5"/>
        <v>1.1629966580818203</v>
      </c>
      <c r="I47">
        <f t="shared" si="0"/>
        <v>1.7719999999999986E-2</v>
      </c>
      <c r="J47">
        <f t="shared" si="1"/>
        <v>1.0178779306646684</v>
      </c>
      <c r="K47">
        <f t="shared" si="2"/>
        <v>0.28427999999999998</v>
      </c>
      <c r="L47">
        <f t="shared" si="3"/>
        <v>1.3288049440528371</v>
      </c>
      <c r="N47" t="s">
        <v>260</v>
      </c>
    </row>
    <row r="48" spans="1:14" x14ac:dyDescent="0.3">
      <c r="A48" t="s">
        <v>226</v>
      </c>
      <c r="B48" t="str">
        <f t="shared" si="4"/>
        <v>Child in household: Missing (Ref: No child)</v>
      </c>
      <c r="C48" t="s">
        <v>223</v>
      </c>
      <c r="D48">
        <v>0.54800000000000004</v>
      </c>
      <c r="E48">
        <v>0.185</v>
      </c>
      <c r="F48">
        <v>2.9580000000000002</v>
      </c>
      <c r="G48">
        <v>3.0000000000000001E-3</v>
      </c>
      <c r="H48">
        <f t="shared" si="5"/>
        <v>1.7297899760278472</v>
      </c>
      <c r="I48">
        <f t="shared" si="0"/>
        <v>0.18540000000000006</v>
      </c>
      <c r="J48">
        <f t="shared" si="1"/>
        <v>1.2036998237740573</v>
      </c>
      <c r="K48">
        <f t="shared" si="2"/>
        <v>0.91060000000000008</v>
      </c>
      <c r="L48">
        <f t="shared" si="3"/>
        <v>2.4858135741723526</v>
      </c>
      <c r="N48" t="s">
        <v>261</v>
      </c>
    </row>
    <row r="49" spans="1:14" x14ac:dyDescent="0.3">
      <c r="A49" t="s">
        <v>226</v>
      </c>
      <c r="B49" t="str">
        <f t="shared" si="4"/>
        <v>Income: Low tertile (Ref: Medium)</v>
      </c>
      <c r="C49" t="s">
        <v>223</v>
      </c>
      <c r="D49">
        <v>0.112</v>
      </c>
      <c r="E49">
        <v>8.3000000000000004E-2</v>
      </c>
      <c r="F49">
        <v>1.349</v>
      </c>
      <c r="G49">
        <v>0.17699999999999999</v>
      </c>
      <c r="H49">
        <f t="shared" si="5"/>
        <v>1.1185128606450452</v>
      </c>
      <c r="I49">
        <f t="shared" si="0"/>
        <v>-5.0680000000000017E-2</v>
      </c>
      <c r="J49">
        <f t="shared" si="1"/>
        <v>0.95058280836645548</v>
      </c>
      <c r="K49">
        <f t="shared" si="2"/>
        <v>0.27468000000000004</v>
      </c>
      <c r="L49">
        <f t="shared" si="3"/>
        <v>1.3161094524508452</v>
      </c>
      <c r="N49" t="s">
        <v>257</v>
      </c>
    </row>
    <row r="50" spans="1:14" x14ac:dyDescent="0.3">
      <c r="A50" t="s">
        <v>226</v>
      </c>
      <c r="B50" t="str">
        <f t="shared" si="4"/>
        <v>Income: High tertile</v>
      </c>
      <c r="C50" t="s">
        <v>223</v>
      </c>
      <c r="D50">
        <v>-8.7999999999999995E-2</v>
      </c>
      <c r="E50">
        <v>7.5999999999999998E-2</v>
      </c>
      <c r="F50">
        <v>-1.1519999999999999</v>
      </c>
      <c r="G50">
        <v>0.249</v>
      </c>
      <c r="H50">
        <f t="shared" si="5"/>
        <v>0.91576087672332562</v>
      </c>
      <c r="I50">
        <f t="shared" si="0"/>
        <v>-0.23695999999999998</v>
      </c>
      <c r="J50">
        <f t="shared" si="1"/>
        <v>0.78902284830033187</v>
      </c>
      <c r="K50">
        <f t="shared" si="2"/>
        <v>6.0959999999999986E-2</v>
      </c>
      <c r="L50">
        <f t="shared" si="3"/>
        <v>1.0628563990809357</v>
      </c>
      <c r="N50" t="s">
        <v>245</v>
      </c>
    </row>
    <row r="51" spans="1:14" x14ac:dyDescent="0.3">
      <c r="A51" t="s">
        <v>226</v>
      </c>
      <c r="B51" t="str">
        <f t="shared" si="4"/>
        <v>Income: Missing (Ref: Medium)</v>
      </c>
      <c r="C51" t="s">
        <v>223</v>
      </c>
      <c r="D51">
        <v>-0.183</v>
      </c>
      <c r="E51">
        <v>9.5000000000000001E-2</v>
      </c>
      <c r="F51">
        <v>-1.913</v>
      </c>
      <c r="G51">
        <v>5.6000000000000001E-2</v>
      </c>
      <c r="H51">
        <f t="shared" si="5"/>
        <v>0.83276815573709095</v>
      </c>
      <c r="I51">
        <f t="shared" si="0"/>
        <v>-0.36919999999999997</v>
      </c>
      <c r="J51">
        <f t="shared" si="1"/>
        <v>0.69128713919580487</v>
      </c>
      <c r="K51">
        <f t="shared" si="2"/>
        <v>3.2000000000000084E-3</v>
      </c>
      <c r="L51">
        <f t="shared" si="3"/>
        <v>1.0032051254657053</v>
      </c>
      <c r="N51" t="s">
        <v>258</v>
      </c>
    </row>
    <row r="52" spans="1:14" x14ac:dyDescent="0.3">
      <c r="A52" t="s">
        <v>226</v>
      </c>
      <c r="B52" t="str">
        <f t="shared" si="4"/>
        <v>Panelconsent (Ref: No)</v>
      </c>
      <c r="C52" t="s">
        <v>223</v>
      </c>
      <c r="D52">
        <v>-0.18099999999999999</v>
      </c>
      <c r="E52">
        <v>6.7000000000000004E-2</v>
      </c>
      <c r="F52">
        <v>-2.681</v>
      </c>
      <c r="G52">
        <v>7.0000000000000001E-3</v>
      </c>
      <c r="H52">
        <f t="shared" si="5"/>
        <v>0.83443535869578955</v>
      </c>
      <c r="I52">
        <f t="shared" si="0"/>
        <v>-0.31231999999999999</v>
      </c>
      <c r="J52">
        <f t="shared" si="1"/>
        <v>0.73174733161273653</v>
      </c>
      <c r="K52">
        <f t="shared" si="2"/>
        <v>-4.9680000000000002E-2</v>
      </c>
      <c r="L52">
        <f t="shared" si="3"/>
        <v>0.95153386662469619</v>
      </c>
      <c r="N52" t="s">
        <v>259</v>
      </c>
    </row>
    <row r="53" spans="1:14" x14ac:dyDescent="0.3">
      <c r="A53" t="s">
        <v>227</v>
      </c>
      <c r="B53" t="str">
        <f t="shared" si="4"/>
        <v>Household member (Ref: Anchor)</v>
      </c>
      <c r="C53" t="s">
        <v>264</v>
      </c>
      <c r="D53">
        <v>0.28799999999999998</v>
      </c>
      <c r="E53">
        <v>0.20200000000000001</v>
      </c>
      <c r="F53">
        <v>1.4239999999999999</v>
      </c>
      <c r="G53">
        <v>0.154</v>
      </c>
      <c r="H53">
        <f t="shared" si="5"/>
        <v>1.3337573041233846</v>
      </c>
      <c r="I53">
        <f t="shared" si="0"/>
        <v>-0.10792000000000002</v>
      </c>
      <c r="J53">
        <f t="shared" si="1"/>
        <v>0.89769940951063421</v>
      </c>
      <c r="K53">
        <f t="shared" si="2"/>
        <v>0.68391999999999997</v>
      </c>
      <c r="L53">
        <f t="shared" si="3"/>
        <v>1.9816305184741299</v>
      </c>
      <c r="N53" t="s">
        <v>254</v>
      </c>
    </row>
    <row r="54" spans="1:14" x14ac:dyDescent="0.3">
      <c r="A54" t="s">
        <v>227</v>
      </c>
      <c r="B54" t="str">
        <f t="shared" si="4"/>
        <v>Age: Young tertile (Ref: Medium)</v>
      </c>
      <c r="C54" t="s">
        <v>264</v>
      </c>
      <c r="D54">
        <v>2.7E-2</v>
      </c>
      <c r="E54">
        <v>0.27</v>
      </c>
      <c r="F54">
        <v>0.10100000000000001</v>
      </c>
      <c r="G54">
        <v>0.92</v>
      </c>
      <c r="H54">
        <f t="shared" si="5"/>
        <v>1.0273678027634894</v>
      </c>
      <c r="I54">
        <f t="shared" si="0"/>
        <v>-0.50219999999999998</v>
      </c>
      <c r="J54">
        <f t="shared" si="1"/>
        <v>0.6051977589896641</v>
      </c>
      <c r="K54">
        <f t="shared" si="2"/>
        <v>0.55620000000000003</v>
      </c>
      <c r="L54">
        <f t="shared" si="3"/>
        <v>1.744032568655143</v>
      </c>
      <c r="N54" t="s">
        <v>244</v>
      </c>
    </row>
    <row r="55" spans="1:14" x14ac:dyDescent="0.3">
      <c r="A55" t="s">
        <v>227</v>
      </c>
      <c r="B55" t="str">
        <f t="shared" si="4"/>
        <v>Age: Old tertile</v>
      </c>
      <c r="C55" t="s">
        <v>264</v>
      </c>
      <c r="D55">
        <v>1.5109999999999999</v>
      </c>
      <c r="E55">
        <v>0.21299999999999999</v>
      </c>
      <c r="F55">
        <v>7.1059999999999999</v>
      </c>
      <c r="G55">
        <v>0</v>
      </c>
      <c r="H55">
        <f t="shared" si="5"/>
        <v>4.5312597892286073</v>
      </c>
      <c r="I55">
        <f t="shared" si="0"/>
        <v>1.0935199999999998</v>
      </c>
      <c r="J55">
        <f t="shared" si="1"/>
        <v>2.9847619651603616</v>
      </c>
      <c r="K55">
        <f t="shared" si="2"/>
        <v>1.92848</v>
      </c>
      <c r="L55">
        <f t="shared" si="3"/>
        <v>6.8790461407454124</v>
      </c>
      <c r="N55" t="s">
        <v>251</v>
      </c>
    </row>
    <row r="56" spans="1:14" x14ac:dyDescent="0.3">
      <c r="A56" t="s">
        <v>227</v>
      </c>
      <c r="B56" t="str">
        <f t="shared" si="4"/>
        <v>Gender: Female (Ref: Not female)</v>
      </c>
      <c r="C56" t="s">
        <v>264</v>
      </c>
      <c r="D56">
        <v>0.35799999999999998</v>
      </c>
      <c r="E56">
        <v>0.14899999999999999</v>
      </c>
      <c r="F56">
        <v>2.3969999999999998</v>
      </c>
      <c r="G56">
        <v>1.7000000000000001E-2</v>
      </c>
      <c r="H56">
        <f t="shared" si="5"/>
        <v>1.430465620479898</v>
      </c>
      <c r="I56">
        <f t="shared" si="0"/>
        <v>6.5960000000000019E-2</v>
      </c>
      <c r="J56">
        <f t="shared" si="1"/>
        <v>1.0681839889518767</v>
      </c>
      <c r="K56">
        <f t="shared" si="2"/>
        <v>0.65003999999999995</v>
      </c>
      <c r="L56">
        <f t="shared" si="3"/>
        <v>1.9156174521795097</v>
      </c>
      <c r="N56" t="s">
        <v>255</v>
      </c>
    </row>
    <row r="57" spans="1:14" x14ac:dyDescent="0.3">
      <c r="A57" t="s">
        <v>227</v>
      </c>
      <c r="B57" t="str">
        <f t="shared" si="4"/>
        <v>Migration (Ref: No)</v>
      </c>
      <c r="C57" t="s">
        <v>264</v>
      </c>
      <c r="D57">
        <v>6.0999999999999999E-2</v>
      </c>
      <c r="E57">
        <v>0.187</v>
      </c>
      <c r="F57">
        <v>0.32500000000000001</v>
      </c>
      <c r="G57">
        <v>0.746</v>
      </c>
      <c r="H57">
        <f t="shared" si="5"/>
        <v>1.0628989141871952</v>
      </c>
      <c r="I57">
        <f t="shared" si="0"/>
        <v>-0.30552000000000001</v>
      </c>
      <c r="J57">
        <f t="shared" si="1"/>
        <v>0.73674016987875235</v>
      </c>
      <c r="K57">
        <f t="shared" si="2"/>
        <v>0.42752000000000001</v>
      </c>
      <c r="L57">
        <f t="shared" si="3"/>
        <v>1.5334498483586771</v>
      </c>
      <c r="N57" t="s">
        <v>253</v>
      </c>
    </row>
    <row r="58" spans="1:14" x14ac:dyDescent="0.3">
      <c r="A58" t="s">
        <v>227</v>
      </c>
      <c r="B58" t="str">
        <f t="shared" si="4"/>
        <v>Education: Tertiary (Ref: Non-tert.)</v>
      </c>
      <c r="C58" t="s">
        <v>264</v>
      </c>
      <c r="D58">
        <v>0.17399999999999999</v>
      </c>
      <c r="E58">
        <v>0.16300000000000001</v>
      </c>
      <c r="F58">
        <v>1.0720000000000001</v>
      </c>
      <c r="G58">
        <v>0.28399999999999997</v>
      </c>
      <c r="H58">
        <f t="shared" si="5"/>
        <v>1.1900555658203626</v>
      </c>
      <c r="I58">
        <f t="shared" si="0"/>
        <v>-0.14548</v>
      </c>
      <c r="J58">
        <f t="shared" si="1"/>
        <v>0.86460718204467413</v>
      </c>
      <c r="K58">
        <f t="shared" si="2"/>
        <v>0.49347999999999997</v>
      </c>
      <c r="L58">
        <f t="shared" si="3"/>
        <v>1.638006575877422</v>
      </c>
      <c r="N58" t="s">
        <v>252</v>
      </c>
    </row>
    <row r="59" spans="1:14" x14ac:dyDescent="0.3">
      <c r="A59" t="s">
        <v>227</v>
      </c>
      <c r="B59" t="str">
        <f t="shared" si="4"/>
        <v>Education: Missing</v>
      </c>
      <c r="C59" t="s">
        <v>264</v>
      </c>
      <c r="D59">
        <v>0.78500000000000003</v>
      </c>
      <c r="E59">
        <v>0.22800000000000001</v>
      </c>
      <c r="F59">
        <v>3.4430000000000001</v>
      </c>
      <c r="G59">
        <v>1E-3</v>
      </c>
      <c r="H59">
        <f t="shared" si="5"/>
        <v>2.1924069407332158</v>
      </c>
      <c r="I59">
        <f t="shared" si="0"/>
        <v>0.33812000000000003</v>
      </c>
      <c r="J59">
        <f t="shared" si="1"/>
        <v>1.4023087703615447</v>
      </c>
      <c r="K59">
        <f t="shared" si="2"/>
        <v>1.2318800000000001</v>
      </c>
      <c r="L59">
        <f t="shared" si="3"/>
        <v>3.427667497605341</v>
      </c>
      <c r="N59" t="s">
        <v>250</v>
      </c>
    </row>
    <row r="60" spans="1:14" x14ac:dyDescent="0.3">
      <c r="A60" t="s">
        <v>227</v>
      </c>
      <c r="B60" t="str">
        <f t="shared" si="4"/>
        <v>Employment: Part-time</v>
      </c>
      <c r="C60" t="s">
        <v>264</v>
      </c>
      <c r="D60">
        <v>0.42199999999999999</v>
      </c>
      <c r="E60">
        <v>0.25800000000000001</v>
      </c>
      <c r="F60">
        <v>1.637</v>
      </c>
      <c r="G60">
        <v>0.10199999999999999</v>
      </c>
      <c r="H60">
        <f t="shared" si="5"/>
        <v>1.5250085246832794</v>
      </c>
      <c r="I60">
        <f t="shared" si="0"/>
        <v>-8.3680000000000032E-2</v>
      </c>
      <c r="J60">
        <f t="shared" si="1"/>
        <v>0.91972552117697715</v>
      </c>
      <c r="K60">
        <f t="shared" si="2"/>
        <v>0.92768000000000006</v>
      </c>
      <c r="L60">
        <f t="shared" si="3"/>
        <v>2.5286359319251313</v>
      </c>
      <c r="N60" t="s">
        <v>248</v>
      </c>
    </row>
    <row r="61" spans="1:14" x14ac:dyDescent="0.3">
      <c r="A61" t="s">
        <v>227</v>
      </c>
      <c r="B61" t="str">
        <f t="shared" si="4"/>
        <v>Employment: None</v>
      </c>
      <c r="C61" t="s">
        <v>264</v>
      </c>
      <c r="D61">
        <v>0.32400000000000001</v>
      </c>
      <c r="E61">
        <v>0.28199999999999997</v>
      </c>
      <c r="F61">
        <v>1.1479999999999999</v>
      </c>
      <c r="G61">
        <v>0.251</v>
      </c>
      <c r="H61">
        <f t="shared" si="5"/>
        <v>1.3826473071194796</v>
      </c>
      <c r="I61">
        <f t="shared" si="0"/>
        <v>-0.22871999999999998</v>
      </c>
      <c r="J61">
        <f t="shared" si="1"/>
        <v>0.79555125667426396</v>
      </c>
      <c r="K61">
        <f t="shared" si="2"/>
        <v>0.87671999999999994</v>
      </c>
      <c r="L61">
        <f t="shared" si="3"/>
        <v>2.4030049099243564</v>
      </c>
      <c r="N61" t="s">
        <v>249</v>
      </c>
    </row>
    <row r="62" spans="1:14" x14ac:dyDescent="0.3">
      <c r="A62" t="s">
        <v>227</v>
      </c>
      <c r="B62" t="str">
        <f t="shared" si="4"/>
        <v>Employment: Retired (Ref: Full)</v>
      </c>
      <c r="C62" t="s">
        <v>264</v>
      </c>
      <c r="D62">
        <v>0.36599999999999999</v>
      </c>
      <c r="E62">
        <v>0.23</v>
      </c>
      <c r="F62">
        <v>1.595</v>
      </c>
      <c r="G62">
        <v>0.111</v>
      </c>
      <c r="H62">
        <f t="shared" si="5"/>
        <v>1.4419552426545161</v>
      </c>
      <c r="I62">
        <f t="shared" si="0"/>
        <v>-8.4800000000000042E-2</v>
      </c>
      <c r="J62">
        <f t="shared" si="1"/>
        <v>0.91869600522980799</v>
      </c>
      <c r="K62">
        <f t="shared" si="2"/>
        <v>0.81679999999999997</v>
      </c>
      <c r="L62">
        <f t="shared" si="3"/>
        <v>2.2632458506214275</v>
      </c>
      <c r="N62" t="s">
        <v>256</v>
      </c>
    </row>
    <row r="63" spans="1:14" x14ac:dyDescent="0.3">
      <c r="A63" t="s">
        <v>227</v>
      </c>
      <c r="B63" t="str">
        <f t="shared" si="4"/>
        <v>Employment: Missing</v>
      </c>
      <c r="C63" t="s">
        <v>264</v>
      </c>
      <c r="D63">
        <v>1.046</v>
      </c>
      <c r="E63">
        <v>0.34499999999999997</v>
      </c>
      <c r="F63">
        <v>3.036</v>
      </c>
      <c r="G63">
        <v>2E-3</v>
      </c>
      <c r="H63">
        <f t="shared" si="5"/>
        <v>2.846243344348701</v>
      </c>
      <c r="I63">
        <f t="shared" si="0"/>
        <v>0.36980000000000013</v>
      </c>
      <c r="J63">
        <f t="shared" si="1"/>
        <v>1.447445096693154</v>
      </c>
      <c r="K63">
        <f t="shared" si="2"/>
        <v>1.7222</v>
      </c>
      <c r="L63">
        <f t="shared" si="3"/>
        <v>5.5968279513724744</v>
      </c>
      <c r="N63" t="s">
        <v>247</v>
      </c>
    </row>
    <row r="64" spans="1:14" x14ac:dyDescent="0.3">
      <c r="A64" t="s">
        <v>227</v>
      </c>
      <c r="B64" t="str">
        <f t="shared" si="4"/>
        <v>Child in household</v>
      </c>
      <c r="C64" t="s">
        <v>264</v>
      </c>
      <c r="D64">
        <v>0.57599999999999996</v>
      </c>
      <c r="E64">
        <v>0.26700000000000002</v>
      </c>
      <c r="F64">
        <v>2.1549999999999998</v>
      </c>
      <c r="G64">
        <v>3.1E-2</v>
      </c>
      <c r="H64">
        <f t="shared" si="5"/>
        <v>1.7789085463024783</v>
      </c>
      <c r="I64">
        <f t="shared" si="0"/>
        <v>5.2679999999999949E-2</v>
      </c>
      <c r="J64">
        <f t="shared" si="1"/>
        <v>1.0540922816139573</v>
      </c>
      <c r="K64">
        <f t="shared" si="2"/>
        <v>1.0993200000000001</v>
      </c>
      <c r="L64">
        <f t="shared" si="3"/>
        <v>3.0021238854559269</v>
      </c>
      <c r="N64" t="s">
        <v>260</v>
      </c>
    </row>
    <row r="65" spans="1:14" x14ac:dyDescent="0.3">
      <c r="A65" t="s">
        <v>227</v>
      </c>
      <c r="B65" t="str">
        <f t="shared" si="4"/>
        <v>Child in household: Missing (Ref: No child)</v>
      </c>
      <c r="C65" t="s">
        <v>264</v>
      </c>
      <c r="D65">
        <v>-2.4E-2</v>
      </c>
      <c r="E65">
        <v>0.15</v>
      </c>
      <c r="F65">
        <v>-0.159</v>
      </c>
      <c r="G65">
        <v>0.874</v>
      </c>
      <c r="H65">
        <f t="shared" si="5"/>
        <v>0.97628570975790929</v>
      </c>
      <c r="I65">
        <f t="shared" si="0"/>
        <v>-0.318</v>
      </c>
      <c r="J65">
        <f t="shared" si="1"/>
        <v>0.72760278841459547</v>
      </c>
      <c r="K65">
        <f t="shared" si="2"/>
        <v>0.26999999999999996</v>
      </c>
      <c r="L65">
        <f t="shared" si="3"/>
        <v>1.3099644507332473</v>
      </c>
      <c r="N65" t="s">
        <v>261</v>
      </c>
    </row>
    <row r="66" spans="1:14" x14ac:dyDescent="0.3">
      <c r="A66" t="s">
        <v>227</v>
      </c>
      <c r="B66" t="str">
        <f t="shared" si="4"/>
        <v>Income: Low tertile (Ref: Medium)</v>
      </c>
      <c r="C66" t="s">
        <v>264</v>
      </c>
      <c r="D66">
        <v>18.265999999999998</v>
      </c>
      <c r="E66">
        <v>0.47699999999999998</v>
      </c>
      <c r="F66">
        <v>38.32</v>
      </c>
      <c r="G66">
        <v>0</v>
      </c>
      <c r="H66">
        <f t="shared" si="5"/>
        <v>85668863.685776651</v>
      </c>
      <c r="I66">
        <f t="shared" ref="I66:I103" si="6">$D66-1.96*$E66</f>
        <v>17.33108</v>
      </c>
      <c r="J66">
        <f t="shared" ref="J66:J103" si="7">EXP($I66)</f>
        <v>33635075.697608784</v>
      </c>
      <c r="K66">
        <f t="shared" ref="K66:K103" si="8">$D66+1.96*$E66</f>
        <v>19.200919999999996</v>
      </c>
      <c r="L66">
        <f t="shared" ref="L66:L103" si="9">EXP($K66)</f>
        <v>218199425.83729467</v>
      </c>
      <c r="N66" t="s">
        <v>257</v>
      </c>
    </row>
    <row r="67" spans="1:14" x14ac:dyDescent="0.3">
      <c r="A67" t="s">
        <v>227</v>
      </c>
      <c r="B67" t="str">
        <f t="shared" ref="B67:B103" si="10">N67</f>
        <v>Income: High tertile</v>
      </c>
      <c r="C67" t="s">
        <v>264</v>
      </c>
      <c r="D67">
        <v>0.39500000000000002</v>
      </c>
      <c r="E67">
        <v>6.7000000000000004E-2</v>
      </c>
      <c r="F67">
        <v>5.8920000000000003</v>
      </c>
      <c r="G67">
        <v>0</v>
      </c>
      <c r="H67">
        <f t="shared" ref="H67:H103" si="11">(EXP($D67))*1</f>
        <v>1.4843841909209141</v>
      </c>
      <c r="I67">
        <f t="shared" si="6"/>
        <v>0.26368000000000003</v>
      </c>
      <c r="J67">
        <f t="shared" si="7"/>
        <v>1.3017115819399308</v>
      </c>
      <c r="K67">
        <f t="shared" si="8"/>
        <v>0.52632000000000001</v>
      </c>
      <c r="L67">
        <f t="shared" si="9"/>
        <v>1.6926917274349147</v>
      </c>
      <c r="N67" t="s">
        <v>245</v>
      </c>
    </row>
    <row r="68" spans="1:14" x14ac:dyDescent="0.3">
      <c r="A68" t="s">
        <v>227</v>
      </c>
      <c r="B68" t="str">
        <f t="shared" si="10"/>
        <v>Income: Missing (Ref: Medium)</v>
      </c>
      <c r="C68" t="s">
        <v>264</v>
      </c>
      <c r="D68">
        <v>21.556000000000001</v>
      </c>
      <c r="E68">
        <v>7.8E-2</v>
      </c>
      <c r="F68">
        <v>275.76299999999998</v>
      </c>
      <c r="G68">
        <v>0</v>
      </c>
      <c r="H68">
        <f t="shared" si="11"/>
        <v>2299597627.4730687</v>
      </c>
      <c r="I68">
        <f t="shared" si="6"/>
        <v>21.403120000000001</v>
      </c>
      <c r="J68">
        <f t="shared" si="7"/>
        <v>1973589888.9189975</v>
      </c>
      <c r="K68">
        <f t="shared" si="8"/>
        <v>21.708880000000001</v>
      </c>
      <c r="L68">
        <f t="shared" si="9"/>
        <v>2679457002.6786389</v>
      </c>
      <c r="N68" t="s">
        <v>258</v>
      </c>
    </row>
    <row r="69" spans="1:14" x14ac:dyDescent="0.3">
      <c r="A69" t="s">
        <v>227</v>
      </c>
      <c r="B69" t="str">
        <f t="shared" si="10"/>
        <v>Panelconsent (Ref: No)</v>
      </c>
      <c r="C69" t="s">
        <v>264</v>
      </c>
      <c r="D69">
        <v>-0.54400000000000004</v>
      </c>
      <c r="E69">
        <v>0.13900000000000001</v>
      </c>
      <c r="F69">
        <v>-3.9159999999999999</v>
      </c>
      <c r="G69">
        <v>0</v>
      </c>
      <c r="H69">
        <f t="shared" si="11"/>
        <v>0.58042191514074237</v>
      </c>
      <c r="I69">
        <f t="shared" si="6"/>
        <v>-0.81644000000000005</v>
      </c>
      <c r="J69">
        <f t="shared" si="7"/>
        <v>0.44200238543819897</v>
      </c>
      <c r="K69">
        <f t="shared" si="8"/>
        <v>-0.27156000000000002</v>
      </c>
      <c r="L69">
        <f t="shared" si="9"/>
        <v>0.76218955072302697</v>
      </c>
      <c r="N69" t="s">
        <v>259</v>
      </c>
    </row>
    <row r="70" spans="1:14" x14ac:dyDescent="0.3">
      <c r="A70" t="s">
        <v>227</v>
      </c>
      <c r="B70" t="str">
        <f t="shared" si="10"/>
        <v>Household member (Ref: Anchor)</v>
      </c>
      <c r="C70" t="s">
        <v>263</v>
      </c>
      <c r="D70">
        <v>0.27600000000000002</v>
      </c>
      <c r="E70">
        <v>0.20399999999999999</v>
      </c>
      <c r="F70">
        <v>1.357</v>
      </c>
      <c r="G70">
        <v>0.17499999999999999</v>
      </c>
      <c r="H70">
        <f t="shared" si="11"/>
        <v>1.3178478640273033</v>
      </c>
      <c r="I70">
        <f t="shared" si="6"/>
        <v>-0.12383999999999995</v>
      </c>
      <c r="J70">
        <f t="shared" si="7"/>
        <v>0.88352119296515719</v>
      </c>
      <c r="K70">
        <f t="shared" si="8"/>
        <v>0.67584</v>
      </c>
      <c r="L70">
        <f t="shared" si="9"/>
        <v>1.9656834567745516</v>
      </c>
      <c r="N70" t="s">
        <v>254</v>
      </c>
    </row>
    <row r="71" spans="1:14" x14ac:dyDescent="0.3">
      <c r="A71" t="s">
        <v>227</v>
      </c>
      <c r="B71" t="str">
        <f t="shared" si="10"/>
        <v>Age: Young tertile (Ref: Medium)</v>
      </c>
      <c r="C71" t="s">
        <v>263</v>
      </c>
      <c r="D71">
        <v>-0.39600000000000002</v>
      </c>
      <c r="E71">
        <v>0.27400000000000002</v>
      </c>
      <c r="F71">
        <v>-1.446</v>
      </c>
      <c r="G71">
        <v>0.14799999999999999</v>
      </c>
      <c r="H71">
        <f t="shared" si="11"/>
        <v>0.67300669593738638</v>
      </c>
      <c r="I71">
        <f t="shared" si="6"/>
        <v>-0.93304000000000009</v>
      </c>
      <c r="J71">
        <f t="shared" si="7"/>
        <v>0.39335608839979702</v>
      </c>
      <c r="K71">
        <f t="shared" si="8"/>
        <v>0.14104000000000005</v>
      </c>
      <c r="L71">
        <f t="shared" si="9"/>
        <v>1.1514707058918157</v>
      </c>
      <c r="N71" t="s">
        <v>244</v>
      </c>
    </row>
    <row r="72" spans="1:14" x14ac:dyDescent="0.3">
      <c r="A72" t="s">
        <v>227</v>
      </c>
      <c r="B72" t="str">
        <f t="shared" si="10"/>
        <v>Age: Old tertile</v>
      </c>
      <c r="C72" t="s">
        <v>263</v>
      </c>
      <c r="D72">
        <v>1.4139999999999999</v>
      </c>
      <c r="E72">
        <v>0.214</v>
      </c>
      <c r="F72">
        <v>6.5949999999999998</v>
      </c>
      <c r="G72">
        <v>0</v>
      </c>
      <c r="H72">
        <f t="shared" si="11"/>
        <v>4.1123720370646097</v>
      </c>
      <c r="I72">
        <f t="shared" si="6"/>
        <v>0.99455999999999989</v>
      </c>
      <c r="J72">
        <f t="shared" si="7"/>
        <v>2.7035345243482096</v>
      </c>
      <c r="K72">
        <f t="shared" si="8"/>
        <v>1.83344</v>
      </c>
      <c r="L72">
        <f t="shared" si="9"/>
        <v>6.255368155621432</v>
      </c>
      <c r="N72" t="s">
        <v>251</v>
      </c>
    </row>
    <row r="73" spans="1:14" x14ac:dyDescent="0.3">
      <c r="A73" t="s">
        <v>227</v>
      </c>
      <c r="B73" t="str">
        <f t="shared" si="10"/>
        <v>Gender: Female (Ref: Not female)</v>
      </c>
      <c r="C73" t="s">
        <v>263</v>
      </c>
      <c r="D73">
        <v>0.23799999999999999</v>
      </c>
      <c r="E73">
        <v>0.151</v>
      </c>
      <c r="F73">
        <v>1.577</v>
      </c>
      <c r="G73">
        <v>0.115</v>
      </c>
      <c r="H73">
        <f t="shared" si="11"/>
        <v>1.2687091928249108</v>
      </c>
      <c r="I73">
        <f t="shared" si="6"/>
        <v>-5.7960000000000012E-2</v>
      </c>
      <c r="J73">
        <f t="shared" si="7"/>
        <v>0.94368769418962595</v>
      </c>
      <c r="K73">
        <f t="shared" si="8"/>
        <v>0.53395999999999999</v>
      </c>
      <c r="L73">
        <f t="shared" si="9"/>
        <v>1.7056734191502518</v>
      </c>
      <c r="N73" t="s">
        <v>255</v>
      </c>
    </row>
    <row r="74" spans="1:14" x14ac:dyDescent="0.3">
      <c r="A74" t="s">
        <v>227</v>
      </c>
      <c r="B74" t="str">
        <f t="shared" si="10"/>
        <v>Migration (Ref: No)</v>
      </c>
      <c r="C74" t="s">
        <v>263</v>
      </c>
      <c r="D74">
        <v>0.189</v>
      </c>
      <c r="E74">
        <v>0.19</v>
      </c>
      <c r="F74">
        <v>0.996</v>
      </c>
      <c r="G74">
        <v>0.31900000000000001</v>
      </c>
      <c r="H74">
        <f t="shared" si="11"/>
        <v>1.2080409524829019</v>
      </c>
      <c r="I74">
        <f t="shared" si="6"/>
        <v>-0.18340000000000001</v>
      </c>
      <c r="J74">
        <f t="shared" si="7"/>
        <v>0.83243511508736656</v>
      </c>
      <c r="K74">
        <f t="shared" si="8"/>
        <v>0.56140000000000001</v>
      </c>
      <c r="L74">
        <f t="shared" si="9"/>
        <v>1.7531251582564871</v>
      </c>
      <c r="N74" t="s">
        <v>253</v>
      </c>
    </row>
    <row r="75" spans="1:14" x14ac:dyDescent="0.3">
      <c r="A75" t="s">
        <v>227</v>
      </c>
      <c r="B75" t="str">
        <f t="shared" si="10"/>
        <v>Education: Tertiary (Ref: Non-tert.)</v>
      </c>
      <c r="C75" t="s">
        <v>263</v>
      </c>
      <c r="D75">
        <v>0.03</v>
      </c>
      <c r="E75">
        <v>0.16500000000000001</v>
      </c>
      <c r="F75">
        <v>0.18099999999999999</v>
      </c>
      <c r="G75">
        <v>0.85599999999999998</v>
      </c>
      <c r="H75">
        <f t="shared" si="11"/>
        <v>1.0304545339535169</v>
      </c>
      <c r="I75">
        <f t="shared" si="6"/>
        <v>-0.29339999999999999</v>
      </c>
      <c r="J75">
        <f t="shared" si="7"/>
        <v>0.7457237915147571</v>
      </c>
      <c r="K75">
        <f t="shared" si="8"/>
        <v>0.35340000000000005</v>
      </c>
      <c r="L75">
        <f t="shared" si="9"/>
        <v>1.4239005897726507</v>
      </c>
      <c r="N75" t="s">
        <v>252</v>
      </c>
    </row>
    <row r="76" spans="1:14" x14ac:dyDescent="0.3">
      <c r="A76" t="s">
        <v>227</v>
      </c>
      <c r="B76" t="str">
        <f t="shared" si="10"/>
        <v>Education: Missing</v>
      </c>
      <c r="C76" t="s">
        <v>263</v>
      </c>
      <c r="D76">
        <v>1.212</v>
      </c>
      <c r="E76">
        <v>0.23300000000000001</v>
      </c>
      <c r="F76">
        <v>5.1950000000000003</v>
      </c>
      <c r="G76">
        <v>0</v>
      </c>
      <c r="H76">
        <f t="shared" si="11"/>
        <v>3.3601983332969763</v>
      </c>
      <c r="I76">
        <f t="shared" si="6"/>
        <v>0.75531999999999999</v>
      </c>
      <c r="J76">
        <f t="shared" si="7"/>
        <v>2.1282924679881021</v>
      </c>
      <c r="K76">
        <f t="shared" si="8"/>
        <v>1.6686799999999999</v>
      </c>
      <c r="L76">
        <f t="shared" si="9"/>
        <v>5.3051603616138419</v>
      </c>
      <c r="N76" t="s">
        <v>250</v>
      </c>
    </row>
    <row r="77" spans="1:14" x14ac:dyDescent="0.3">
      <c r="A77" t="s">
        <v>227</v>
      </c>
      <c r="B77" t="str">
        <f t="shared" si="10"/>
        <v>Employment: Part-time</v>
      </c>
      <c r="C77" t="s">
        <v>263</v>
      </c>
      <c r="D77">
        <v>0.47099999999999997</v>
      </c>
      <c r="E77">
        <v>0.26200000000000001</v>
      </c>
      <c r="F77">
        <v>1.7969999999999999</v>
      </c>
      <c r="G77">
        <v>7.1999999999999995E-2</v>
      </c>
      <c r="H77">
        <f t="shared" si="11"/>
        <v>1.6015949876744064</v>
      </c>
      <c r="I77">
        <f t="shared" si="6"/>
        <v>-4.2520000000000002E-2</v>
      </c>
      <c r="J77">
        <f t="shared" si="7"/>
        <v>0.95837129790331332</v>
      </c>
      <c r="K77">
        <f t="shared" si="8"/>
        <v>0.98451999999999995</v>
      </c>
      <c r="L77">
        <f t="shared" si="9"/>
        <v>2.6765268431511049</v>
      </c>
      <c r="N77" t="s">
        <v>248</v>
      </c>
    </row>
    <row r="78" spans="1:14" x14ac:dyDescent="0.3">
      <c r="A78" t="s">
        <v>227</v>
      </c>
      <c r="B78" t="str">
        <f t="shared" si="10"/>
        <v>Employment: None</v>
      </c>
      <c r="C78" t="s">
        <v>263</v>
      </c>
      <c r="D78">
        <v>0.104</v>
      </c>
      <c r="E78">
        <v>0.28299999999999997</v>
      </c>
      <c r="F78">
        <v>0.36699999999999999</v>
      </c>
      <c r="G78">
        <v>0.71299999999999997</v>
      </c>
      <c r="H78">
        <f t="shared" si="11"/>
        <v>1.1096004549155825</v>
      </c>
      <c r="I78">
        <f t="shared" si="6"/>
        <v>-0.45067999999999997</v>
      </c>
      <c r="J78">
        <f t="shared" si="7"/>
        <v>0.63719471186488974</v>
      </c>
      <c r="K78">
        <f t="shared" si="8"/>
        <v>0.65867999999999993</v>
      </c>
      <c r="L78">
        <f t="shared" si="9"/>
        <v>1.932240093370287</v>
      </c>
      <c r="N78" t="s">
        <v>249</v>
      </c>
    </row>
    <row r="79" spans="1:14" x14ac:dyDescent="0.3">
      <c r="A79" t="s">
        <v>227</v>
      </c>
      <c r="B79" t="str">
        <f t="shared" si="10"/>
        <v>Employment: Retired (Ref: Full)</v>
      </c>
      <c r="C79" t="s">
        <v>263</v>
      </c>
      <c r="D79">
        <v>3.7999999999999999E-2</v>
      </c>
      <c r="E79">
        <v>0.23100000000000001</v>
      </c>
      <c r="F79">
        <v>0.16600000000000001</v>
      </c>
      <c r="G79">
        <v>0.86799999999999999</v>
      </c>
      <c r="H79">
        <f t="shared" si="11"/>
        <v>1.0387312328784977</v>
      </c>
      <c r="I79">
        <f t="shared" si="6"/>
        <v>-0.41476000000000002</v>
      </c>
      <c r="J79">
        <f t="shared" si="7"/>
        <v>0.66049878139167362</v>
      </c>
      <c r="K79">
        <f t="shared" si="8"/>
        <v>0.49075999999999997</v>
      </c>
      <c r="L79">
        <f t="shared" si="9"/>
        <v>1.6335572518149166</v>
      </c>
      <c r="N79" t="s">
        <v>256</v>
      </c>
    </row>
    <row r="80" spans="1:14" x14ac:dyDescent="0.3">
      <c r="A80" t="s">
        <v>227</v>
      </c>
      <c r="B80" t="str">
        <f t="shared" si="10"/>
        <v>Employment: Missing</v>
      </c>
      <c r="C80" t="s">
        <v>263</v>
      </c>
      <c r="D80">
        <v>1.0820000000000001</v>
      </c>
      <c r="E80">
        <v>0.34799999999999998</v>
      </c>
      <c r="F80">
        <v>3.1110000000000002</v>
      </c>
      <c r="G80">
        <v>2E-3</v>
      </c>
      <c r="H80">
        <f t="shared" si="11"/>
        <v>2.9505748034549604</v>
      </c>
      <c r="I80">
        <f t="shared" si="6"/>
        <v>0.39992000000000016</v>
      </c>
      <c r="J80">
        <f t="shared" si="7"/>
        <v>1.4917053564391709</v>
      </c>
      <c r="K80">
        <f t="shared" si="8"/>
        <v>1.7640799999999999</v>
      </c>
      <c r="L80">
        <f t="shared" si="9"/>
        <v>5.8362005829120234</v>
      </c>
      <c r="N80" t="s">
        <v>247</v>
      </c>
    </row>
    <row r="81" spans="1:14" x14ac:dyDescent="0.3">
      <c r="A81" t="s">
        <v>227</v>
      </c>
      <c r="B81" t="str">
        <f t="shared" si="10"/>
        <v>Child in household</v>
      </c>
      <c r="C81" t="s">
        <v>263</v>
      </c>
      <c r="D81">
        <v>0.64</v>
      </c>
      <c r="E81">
        <v>0.27100000000000002</v>
      </c>
      <c r="F81">
        <v>2.3580000000000001</v>
      </c>
      <c r="G81">
        <v>1.7999999999999999E-2</v>
      </c>
      <c r="H81">
        <f t="shared" si="11"/>
        <v>1.8964808793049515</v>
      </c>
      <c r="I81">
        <f t="shared" si="6"/>
        <v>0.10883999999999994</v>
      </c>
      <c r="J81">
        <f t="shared" si="7"/>
        <v>1.1149839386387099</v>
      </c>
      <c r="K81">
        <f t="shared" si="8"/>
        <v>1.17116</v>
      </c>
      <c r="L81">
        <f t="shared" si="9"/>
        <v>3.2257323185842823</v>
      </c>
      <c r="N81" t="s">
        <v>260</v>
      </c>
    </row>
    <row r="82" spans="1:14" x14ac:dyDescent="0.3">
      <c r="A82" t="s">
        <v>227</v>
      </c>
      <c r="B82" t="str">
        <f t="shared" si="10"/>
        <v>Child in household: Missing (Ref: No child)</v>
      </c>
      <c r="C82" t="s">
        <v>263</v>
      </c>
      <c r="D82">
        <v>4.8000000000000001E-2</v>
      </c>
      <c r="E82">
        <v>0.153</v>
      </c>
      <c r="F82">
        <v>0.316</v>
      </c>
      <c r="G82">
        <v>0.752</v>
      </c>
      <c r="H82">
        <f t="shared" si="11"/>
        <v>1.0491706553244706</v>
      </c>
      <c r="I82">
        <f t="shared" si="6"/>
        <v>-0.25187999999999999</v>
      </c>
      <c r="J82">
        <f t="shared" si="7"/>
        <v>0.77733801303390038</v>
      </c>
      <c r="K82">
        <f t="shared" si="8"/>
        <v>0.34787999999999997</v>
      </c>
      <c r="L82">
        <f t="shared" si="9"/>
        <v>1.416062312066519</v>
      </c>
      <c r="N82" t="s">
        <v>261</v>
      </c>
    </row>
    <row r="83" spans="1:14" x14ac:dyDescent="0.3">
      <c r="A83" t="s">
        <v>227</v>
      </c>
      <c r="B83" t="str">
        <f t="shared" si="10"/>
        <v>Income: Low tertile (Ref: Medium)</v>
      </c>
      <c r="C83" t="s">
        <v>263</v>
      </c>
      <c r="D83">
        <v>18.373999999999999</v>
      </c>
      <c r="E83">
        <v>0.47899999999999998</v>
      </c>
      <c r="F83">
        <v>38.381</v>
      </c>
      <c r="G83">
        <v>0</v>
      </c>
      <c r="H83">
        <f t="shared" si="11"/>
        <v>95439204.43896015</v>
      </c>
      <c r="I83">
        <f t="shared" si="6"/>
        <v>17.43516</v>
      </c>
      <c r="J83">
        <f t="shared" si="7"/>
        <v>37324481.134242341</v>
      </c>
      <c r="K83">
        <f t="shared" si="8"/>
        <v>19.312839999999998</v>
      </c>
      <c r="L83">
        <f t="shared" si="9"/>
        <v>244039340.05622798</v>
      </c>
      <c r="N83" t="s">
        <v>257</v>
      </c>
    </row>
    <row r="84" spans="1:14" x14ac:dyDescent="0.3">
      <c r="A84" t="s">
        <v>227</v>
      </c>
      <c r="B84" t="str">
        <f t="shared" si="10"/>
        <v>Income: High tertile</v>
      </c>
      <c r="C84" t="s">
        <v>263</v>
      </c>
      <c r="D84">
        <v>0.17299999999999999</v>
      </c>
      <c r="E84">
        <v>0</v>
      </c>
      <c r="F84">
        <v>999</v>
      </c>
      <c r="G84">
        <v>0</v>
      </c>
      <c r="H84">
        <f t="shared" si="11"/>
        <v>1.1888661050840321</v>
      </c>
      <c r="I84">
        <f t="shared" si="6"/>
        <v>0.17299999999999999</v>
      </c>
      <c r="J84">
        <f t="shared" si="7"/>
        <v>1.1888661050840321</v>
      </c>
      <c r="K84">
        <f t="shared" si="8"/>
        <v>0.17299999999999999</v>
      </c>
      <c r="L84">
        <f t="shared" si="9"/>
        <v>1.1888661050840321</v>
      </c>
      <c r="N84" t="s">
        <v>245</v>
      </c>
    </row>
    <row r="85" spans="1:14" x14ac:dyDescent="0.3">
      <c r="A85" t="s">
        <v>227</v>
      </c>
      <c r="B85" t="str">
        <f t="shared" si="10"/>
        <v>Income: Missing (Ref: Medium)</v>
      </c>
      <c r="C85" t="s">
        <v>263</v>
      </c>
      <c r="D85">
        <v>21.937999999999999</v>
      </c>
      <c r="E85">
        <v>0</v>
      </c>
      <c r="F85">
        <v>999</v>
      </c>
      <c r="G85">
        <v>0</v>
      </c>
      <c r="H85">
        <f t="shared" si="11"/>
        <v>3369398234.7166152</v>
      </c>
      <c r="I85">
        <f t="shared" si="6"/>
        <v>21.937999999999999</v>
      </c>
      <c r="J85">
        <f t="shared" si="7"/>
        <v>3369398234.7166152</v>
      </c>
      <c r="K85">
        <f t="shared" si="8"/>
        <v>21.937999999999999</v>
      </c>
      <c r="L85">
        <f t="shared" si="9"/>
        <v>3369398234.7166152</v>
      </c>
      <c r="N85" t="s">
        <v>258</v>
      </c>
    </row>
    <row r="86" spans="1:14" x14ac:dyDescent="0.3">
      <c r="A86" t="s">
        <v>227</v>
      </c>
      <c r="B86" t="str">
        <f t="shared" si="10"/>
        <v>Panelconsent (Ref: No)</v>
      </c>
      <c r="C86" t="s">
        <v>263</v>
      </c>
      <c r="D86">
        <v>-0.75</v>
      </c>
      <c r="E86">
        <v>0.14000000000000001</v>
      </c>
      <c r="F86">
        <v>-5.3390000000000004</v>
      </c>
      <c r="G86">
        <v>0</v>
      </c>
      <c r="H86">
        <f t="shared" si="11"/>
        <v>0.47236655274101469</v>
      </c>
      <c r="I86">
        <f t="shared" si="6"/>
        <v>-1.0244</v>
      </c>
      <c r="J86">
        <f t="shared" si="7"/>
        <v>0.35901180788147757</v>
      </c>
      <c r="K86">
        <f t="shared" si="8"/>
        <v>-0.47559999999999997</v>
      </c>
      <c r="L86">
        <f t="shared" si="9"/>
        <v>0.6215120373480667</v>
      </c>
      <c r="N86" t="s">
        <v>259</v>
      </c>
    </row>
    <row r="87" spans="1:14" x14ac:dyDescent="0.3">
      <c r="A87" t="s">
        <v>227</v>
      </c>
      <c r="B87" t="str">
        <f t="shared" si="10"/>
        <v>Household member (Ref: Anchor)</v>
      </c>
      <c r="C87" t="s">
        <v>223</v>
      </c>
      <c r="D87">
        <v>-1.0999999999999999E-2</v>
      </c>
      <c r="E87">
        <v>5.1999999999999998E-2</v>
      </c>
      <c r="F87">
        <v>-0.214</v>
      </c>
      <c r="G87">
        <v>0.83099999999999996</v>
      </c>
      <c r="H87">
        <f t="shared" si="11"/>
        <v>0.98906027877536873</v>
      </c>
      <c r="I87">
        <f t="shared" si="6"/>
        <v>-0.11291999999999999</v>
      </c>
      <c r="J87">
        <f t="shared" si="7"/>
        <v>0.89322211502698312</v>
      </c>
      <c r="K87">
        <f t="shared" si="8"/>
        <v>9.0920000000000001E-2</v>
      </c>
      <c r="L87">
        <f t="shared" si="9"/>
        <v>1.095181387242812</v>
      </c>
      <c r="N87" t="s">
        <v>254</v>
      </c>
    </row>
    <row r="88" spans="1:14" x14ac:dyDescent="0.3">
      <c r="A88" t="s">
        <v>227</v>
      </c>
      <c r="B88" t="str">
        <f t="shared" si="10"/>
        <v>Age: Young tertile (Ref: Medium)</v>
      </c>
      <c r="C88" t="s">
        <v>223</v>
      </c>
      <c r="D88">
        <v>-0.42299999999999999</v>
      </c>
      <c r="E88">
        <v>6.5000000000000002E-2</v>
      </c>
      <c r="F88">
        <v>-6.5119999999999996</v>
      </c>
      <c r="G88">
        <v>0</v>
      </c>
      <c r="H88">
        <f t="shared" si="11"/>
        <v>0.65507863311180625</v>
      </c>
      <c r="I88">
        <f t="shared" si="6"/>
        <v>-0.5504</v>
      </c>
      <c r="J88">
        <f t="shared" si="7"/>
        <v>0.57671907660616584</v>
      </c>
      <c r="K88">
        <f t="shared" si="8"/>
        <v>-0.29559999999999997</v>
      </c>
      <c r="L88">
        <f t="shared" si="9"/>
        <v>0.74408500250231646</v>
      </c>
      <c r="N88" t="s">
        <v>244</v>
      </c>
    </row>
    <row r="89" spans="1:14" x14ac:dyDescent="0.3">
      <c r="A89" t="s">
        <v>227</v>
      </c>
      <c r="B89" t="str">
        <f t="shared" si="10"/>
        <v>Age: Old tertile</v>
      </c>
      <c r="C89" t="s">
        <v>223</v>
      </c>
      <c r="D89">
        <v>-9.7000000000000003E-2</v>
      </c>
      <c r="E89">
        <v>7.9000000000000001E-2</v>
      </c>
      <c r="F89">
        <v>-1.2290000000000001</v>
      </c>
      <c r="G89">
        <v>0.219</v>
      </c>
      <c r="H89">
        <f t="shared" si="11"/>
        <v>0.9075560061332727</v>
      </c>
      <c r="I89">
        <f t="shared" si="6"/>
        <v>-0.25184000000000001</v>
      </c>
      <c r="J89">
        <f t="shared" si="7"/>
        <v>0.77736910717630048</v>
      </c>
      <c r="K89">
        <f t="shared" si="8"/>
        <v>5.7840000000000003E-2</v>
      </c>
      <c r="L89">
        <f t="shared" si="9"/>
        <v>1.0595454548746024</v>
      </c>
      <c r="N89" t="s">
        <v>251</v>
      </c>
    </row>
    <row r="90" spans="1:14" x14ac:dyDescent="0.3">
      <c r="A90" t="s">
        <v>227</v>
      </c>
      <c r="B90" t="str">
        <f t="shared" si="10"/>
        <v>Gender: Female (Ref: Not female)</v>
      </c>
      <c r="C90" t="s">
        <v>223</v>
      </c>
      <c r="D90">
        <v>-0.12</v>
      </c>
      <c r="E90">
        <v>4.5999999999999999E-2</v>
      </c>
      <c r="F90">
        <v>-2.5910000000000002</v>
      </c>
      <c r="G90">
        <v>0.01</v>
      </c>
      <c r="H90">
        <f t="shared" si="11"/>
        <v>0.88692043671715748</v>
      </c>
      <c r="I90">
        <f t="shared" si="6"/>
        <v>-0.21015999999999999</v>
      </c>
      <c r="J90">
        <f t="shared" si="7"/>
        <v>0.8104545628657569</v>
      </c>
      <c r="K90">
        <f t="shared" si="8"/>
        <v>-2.9840000000000005E-2</v>
      </c>
      <c r="L90">
        <f t="shared" si="9"/>
        <v>0.97060081725624126</v>
      </c>
      <c r="N90" t="s">
        <v>255</v>
      </c>
    </row>
    <row r="91" spans="1:14" x14ac:dyDescent="0.3">
      <c r="A91" t="s">
        <v>227</v>
      </c>
      <c r="B91" t="str">
        <f t="shared" si="10"/>
        <v>Migration (Ref: No)</v>
      </c>
      <c r="C91" t="s">
        <v>223</v>
      </c>
      <c r="D91">
        <v>0.128</v>
      </c>
      <c r="E91">
        <v>6.2E-2</v>
      </c>
      <c r="F91">
        <v>2.0590000000000002</v>
      </c>
      <c r="G91">
        <v>3.9E-2</v>
      </c>
      <c r="H91">
        <f t="shared" si="11"/>
        <v>1.1365530026970603</v>
      </c>
      <c r="I91">
        <f t="shared" si="6"/>
        <v>6.4799999999999996E-3</v>
      </c>
      <c r="J91">
        <f t="shared" si="7"/>
        <v>1.0065010406231938</v>
      </c>
      <c r="K91">
        <f t="shared" si="8"/>
        <v>0.24952000000000002</v>
      </c>
      <c r="L91">
        <f t="shared" si="9"/>
        <v>1.2834092323837951</v>
      </c>
      <c r="N91" t="s">
        <v>253</v>
      </c>
    </row>
    <row r="92" spans="1:14" x14ac:dyDescent="0.3">
      <c r="A92" t="s">
        <v>227</v>
      </c>
      <c r="B92" t="str">
        <f t="shared" si="10"/>
        <v>Education: Tertiary (Ref: Non-tert.)</v>
      </c>
      <c r="C92" t="s">
        <v>223</v>
      </c>
      <c r="D92">
        <v>-0.14499999999999999</v>
      </c>
      <c r="E92">
        <v>5.0999999999999997E-2</v>
      </c>
      <c r="F92">
        <v>-2.8340000000000001</v>
      </c>
      <c r="G92">
        <v>5.0000000000000001E-3</v>
      </c>
      <c r="H92">
        <f t="shared" si="11"/>
        <v>0.8650222931107413</v>
      </c>
      <c r="I92">
        <f t="shared" si="6"/>
        <v>-0.24495999999999998</v>
      </c>
      <c r="J92">
        <f t="shared" si="7"/>
        <v>0.78273584704956989</v>
      </c>
      <c r="K92">
        <f t="shared" si="8"/>
        <v>-4.5039999999999997E-2</v>
      </c>
      <c r="L92">
        <f t="shared" si="9"/>
        <v>0.95595924269861432</v>
      </c>
      <c r="N92" t="s">
        <v>252</v>
      </c>
    </row>
    <row r="93" spans="1:14" x14ac:dyDescent="0.3">
      <c r="A93" t="s">
        <v>227</v>
      </c>
      <c r="B93" t="str">
        <f t="shared" si="10"/>
        <v>Education: Missing</v>
      </c>
      <c r="C93" t="s">
        <v>223</v>
      </c>
      <c r="D93">
        <v>0.42699999999999999</v>
      </c>
      <c r="E93">
        <v>0.121</v>
      </c>
      <c r="F93">
        <v>3.524</v>
      </c>
      <c r="G93">
        <v>0</v>
      </c>
      <c r="H93">
        <f t="shared" si="11"/>
        <v>1.5326526617240188</v>
      </c>
      <c r="I93">
        <f t="shared" si="6"/>
        <v>0.18984000000000001</v>
      </c>
      <c r="J93">
        <f t="shared" si="7"/>
        <v>1.2090561331991956</v>
      </c>
      <c r="K93">
        <f t="shared" si="8"/>
        <v>0.66415999999999997</v>
      </c>
      <c r="L93">
        <f t="shared" si="9"/>
        <v>1.9428578351231196</v>
      </c>
      <c r="N93" t="s">
        <v>250</v>
      </c>
    </row>
    <row r="94" spans="1:14" x14ac:dyDescent="0.3">
      <c r="A94" t="s">
        <v>227</v>
      </c>
      <c r="B94" t="str">
        <f t="shared" si="10"/>
        <v>Employment: Part-time</v>
      </c>
      <c r="C94" t="s">
        <v>223</v>
      </c>
      <c r="D94">
        <v>0.05</v>
      </c>
      <c r="E94">
        <v>6.9000000000000006E-2</v>
      </c>
      <c r="F94">
        <v>0.72399999999999998</v>
      </c>
      <c r="G94">
        <v>0.46899999999999997</v>
      </c>
      <c r="H94">
        <f t="shared" si="11"/>
        <v>1.0512710963760241</v>
      </c>
      <c r="I94">
        <f t="shared" si="6"/>
        <v>-8.5239999999999996E-2</v>
      </c>
      <c r="J94">
        <f t="shared" si="7"/>
        <v>0.91829186790423867</v>
      </c>
      <c r="K94">
        <f t="shared" si="8"/>
        <v>0.18524000000000002</v>
      </c>
      <c r="L94">
        <f t="shared" si="9"/>
        <v>1.2035072472087895</v>
      </c>
      <c r="N94" t="s">
        <v>248</v>
      </c>
    </row>
    <row r="95" spans="1:14" x14ac:dyDescent="0.3">
      <c r="A95" t="s">
        <v>227</v>
      </c>
      <c r="B95" t="str">
        <f t="shared" si="10"/>
        <v>Employment: None</v>
      </c>
      <c r="C95" t="s">
        <v>223</v>
      </c>
      <c r="D95">
        <v>-0.22</v>
      </c>
      <c r="E95">
        <v>8.3000000000000004E-2</v>
      </c>
      <c r="F95">
        <v>-2.6549999999999998</v>
      </c>
      <c r="G95">
        <v>8.0000000000000002E-3</v>
      </c>
      <c r="H95">
        <f t="shared" si="11"/>
        <v>0.80251879796247849</v>
      </c>
      <c r="I95">
        <f t="shared" si="6"/>
        <v>-0.38268000000000002</v>
      </c>
      <c r="J95">
        <f t="shared" si="7"/>
        <v>0.68203111432630636</v>
      </c>
      <c r="K95">
        <f t="shared" si="8"/>
        <v>-5.7319999999999982E-2</v>
      </c>
      <c r="L95">
        <f t="shared" si="9"/>
        <v>0.94429184762238405</v>
      </c>
      <c r="N95" t="s">
        <v>249</v>
      </c>
    </row>
    <row r="96" spans="1:14" x14ac:dyDescent="0.3">
      <c r="A96" t="s">
        <v>227</v>
      </c>
      <c r="B96" t="str">
        <f t="shared" si="10"/>
        <v>Employment: Retired (Ref: Full)</v>
      </c>
      <c r="C96" t="s">
        <v>223</v>
      </c>
      <c r="D96">
        <v>-0.32800000000000001</v>
      </c>
      <c r="E96">
        <v>8.5999999999999993E-2</v>
      </c>
      <c r="F96">
        <v>-3.823</v>
      </c>
      <c r="G96">
        <v>0</v>
      </c>
      <c r="H96">
        <f t="shared" si="11"/>
        <v>0.72036301970530137</v>
      </c>
      <c r="I96">
        <f t="shared" si="6"/>
        <v>-0.49656</v>
      </c>
      <c r="J96">
        <f t="shared" si="7"/>
        <v>0.60862071802125994</v>
      </c>
      <c r="K96">
        <f t="shared" si="8"/>
        <v>-0.15944000000000003</v>
      </c>
      <c r="L96">
        <f t="shared" si="9"/>
        <v>0.85262112312912364</v>
      </c>
      <c r="N96" t="s">
        <v>256</v>
      </c>
    </row>
    <row r="97" spans="1:14" x14ac:dyDescent="0.3">
      <c r="A97" t="s">
        <v>227</v>
      </c>
      <c r="B97" t="str">
        <f t="shared" si="10"/>
        <v>Employment: Missing</v>
      </c>
      <c r="C97" t="s">
        <v>223</v>
      </c>
      <c r="D97">
        <v>3.5000000000000003E-2</v>
      </c>
      <c r="E97">
        <v>0.158</v>
      </c>
      <c r="F97">
        <v>0.222</v>
      </c>
      <c r="G97">
        <v>0.82399999999999995</v>
      </c>
      <c r="H97">
        <f t="shared" si="11"/>
        <v>1.0356197087996233</v>
      </c>
      <c r="I97">
        <f t="shared" si="6"/>
        <v>-0.27468000000000004</v>
      </c>
      <c r="J97">
        <f t="shared" si="7"/>
        <v>0.75981522519864175</v>
      </c>
      <c r="K97">
        <f t="shared" si="8"/>
        <v>0.34467999999999999</v>
      </c>
      <c r="L97">
        <f t="shared" si="9"/>
        <v>1.4115381551795385</v>
      </c>
      <c r="N97" t="s">
        <v>247</v>
      </c>
    </row>
    <row r="98" spans="1:14" x14ac:dyDescent="0.3">
      <c r="A98" t="s">
        <v>227</v>
      </c>
      <c r="B98" t="str">
        <f t="shared" si="10"/>
        <v>Child in household</v>
      </c>
      <c r="C98" t="s">
        <v>223</v>
      </c>
      <c r="D98">
        <v>6.5000000000000002E-2</v>
      </c>
      <c r="E98">
        <v>7.1999999999999995E-2</v>
      </c>
      <c r="F98">
        <v>0.89900000000000002</v>
      </c>
      <c r="G98">
        <v>0.36799999999999999</v>
      </c>
      <c r="H98">
        <f t="shared" si="11"/>
        <v>1.0671590243841926</v>
      </c>
      <c r="I98">
        <f t="shared" si="6"/>
        <v>-7.6119999999999993E-2</v>
      </c>
      <c r="J98">
        <f t="shared" si="7"/>
        <v>0.92670499528740491</v>
      </c>
      <c r="K98">
        <f t="shared" si="8"/>
        <v>0.20612</v>
      </c>
      <c r="L98">
        <f t="shared" si="9"/>
        <v>1.2289006632271684</v>
      </c>
      <c r="N98" t="s">
        <v>260</v>
      </c>
    </row>
    <row r="99" spans="1:14" x14ac:dyDescent="0.3">
      <c r="A99" t="s">
        <v>227</v>
      </c>
      <c r="B99" t="str">
        <f t="shared" si="10"/>
        <v>Child in household: Missing (Ref: No child)</v>
      </c>
      <c r="C99" t="s">
        <v>223</v>
      </c>
      <c r="D99">
        <v>7.1999999999999995E-2</v>
      </c>
      <c r="E99">
        <v>0.10299999999999999</v>
      </c>
      <c r="F99">
        <v>0.69899999999999995</v>
      </c>
      <c r="G99">
        <v>0.48499999999999999</v>
      </c>
      <c r="H99">
        <f t="shared" si="11"/>
        <v>1.0746553440638136</v>
      </c>
      <c r="I99">
        <f t="shared" si="6"/>
        <v>-0.12988</v>
      </c>
      <c r="J99">
        <f t="shared" si="7"/>
        <v>0.87820080869481176</v>
      </c>
      <c r="K99">
        <f t="shared" si="8"/>
        <v>0.27387999999999996</v>
      </c>
      <c r="L99">
        <f t="shared" si="9"/>
        <v>1.3150569859316237</v>
      </c>
      <c r="N99" t="s">
        <v>261</v>
      </c>
    </row>
    <row r="100" spans="1:14" x14ac:dyDescent="0.3">
      <c r="A100" t="s">
        <v>227</v>
      </c>
      <c r="B100" t="str">
        <f t="shared" si="10"/>
        <v>Income: Low tertile (Ref: Medium)</v>
      </c>
      <c r="C100" t="s">
        <v>223</v>
      </c>
      <c r="D100">
        <v>0.108</v>
      </c>
      <c r="E100">
        <v>6.0999999999999999E-2</v>
      </c>
      <c r="F100">
        <v>1.764</v>
      </c>
      <c r="G100">
        <v>7.8E-2</v>
      </c>
      <c r="H100">
        <f t="shared" si="11"/>
        <v>1.1140477453864677</v>
      </c>
      <c r="I100">
        <f t="shared" si="6"/>
        <v>-1.1560000000000001E-2</v>
      </c>
      <c r="J100">
        <f t="shared" si="7"/>
        <v>0.98850656007496107</v>
      </c>
      <c r="K100">
        <f t="shared" si="8"/>
        <v>0.22755999999999998</v>
      </c>
      <c r="L100">
        <f t="shared" si="9"/>
        <v>1.2555327694603824</v>
      </c>
      <c r="N100" t="s">
        <v>257</v>
      </c>
    </row>
    <row r="101" spans="1:14" x14ac:dyDescent="0.3">
      <c r="A101" t="s">
        <v>227</v>
      </c>
      <c r="B101" t="str">
        <f t="shared" si="10"/>
        <v>Income: High tertile</v>
      </c>
      <c r="C101" t="s">
        <v>223</v>
      </c>
      <c r="D101">
        <v>-0.222</v>
      </c>
      <c r="E101">
        <v>6.7000000000000004E-2</v>
      </c>
      <c r="F101">
        <v>-3.3109999999999999</v>
      </c>
      <c r="G101">
        <v>1E-3</v>
      </c>
      <c r="H101">
        <f t="shared" si="11"/>
        <v>0.80091536433465915</v>
      </c>
      <c r="I101">
        <f t="shared" si="6"/>
        <v>-0.35331999999999997</v>
      </c>
      <c r="J101">
        <f t="shared" si="7"/>
        <v>0.70235240464347648</v>
      </c>
      <c r="K101">
        <f t="shared" si="8"/>
        <v>-9.0680000000000011E-2</v>
      </c>
      <c r="L101">
        <f t="shared" si="9"/>
        <v>0.91330992331824701</v>
      </c>
      <c r="N101" t="s">
        <v>245</v>
      </c>
    </row>
    <row r="102" spans="1:14" x14ac:dyDescent="0.3">
      <c r="A102" t="s">
        <v>227</v>
      </c>
      <c r="B102" t="str">
        <f t="shared" si="10"/>
        <v>Income: Missing (Ref: Medium)</v>
      </c>
      <c r="C102" t="s">
        <v>223</v>
      </c>
      <c r="D102">
        <v>0.38100000000000001</v>
      </c>
      <c r="E102">
        <v>7.8E-2</v>
      </c>
      <c r="F102">
        <v>4.8780000000000001</v>
      </c>
      <c r="G102">
        <v>0</v>
      </c>
      <c r="H102">
        <f t="shared" si="11"/>
        <v>1.4637476054097285</v>
      </c>
      <c r="I102">
        <f t="shared" si="6"/>
        <v>0.22812000000000002</v>
      </c>
      <c r="J102">
        <f t="shared" si="7"/>
        <v>1.2562360647155721</v>
      </c>
      <c r="K102">
        <f t="shared" si="8"/>
        <v>0.53388000000000002</v>
      </c>
      <c r="L102">
        <f t="shared" si="9"/>
        <v>1.7055369707347294</v>
      </c>
      <c r="N102" t="s">
        <v>258</v>
      </c>
    </row>
    <row r="103" spans="1:14" x14ac:dyDescent="0.3">
      <c r="A103" t="s">
        <v>227</v>
      </c>
      <c r="B103" t="str">
        <f t="shared" si="10"/>
        <v>Panelconsent (Ref: No)</v>
      </c>
      <c r="C103" t="s">
        <v>223</v>
      </c>
      <c r="D103">
        <v>-0.20599999999999999</v>
      </c>
      <c r="E103">
        <v>4.8000000000000001E-2</v>
      </c>
      <c r="F103">
        <v>-4.2480000000000002</v>
      </c>
      <c r="G103">
        <v>0</v>
      </c>
      <c r="H103">
        <f t="shared" si="11"/>
        <v>0.81383307628292068</v>
      </c>
      <c r="I103">
        <f t="shared" si="6"/>
        <v>-0.30008000000000001</v>
      </c>
      <c r="J103">
        <f t="shared" si="7"/>
        <v>0.74075895759461841</v>
      </c>
      <c r="K103">
        <f t="shared" si="8"/>
        <v>-0.11191999999999999</v>
      </c>
      <c r="L103">
        <f t="shared" si="9"/>
        <v>0.89411578390197521</v>
      </c>
      <c r="N103" t="s">
        <v>259</v>
      </c>
    </row>
    <row r="150" spans="1:14" x14ac:dyDescent="0.3">
      <c r="A150" s="75"/>
      <c r="C150" s="75"/>
      <c r="D150" s="75"/>
      <c r="E150" s="75"/>
      <c r="F150" s="75"/>
      <c r="G150" s="75"/>
      <c r="N150" s="75"/>
    </row>
  </sheetData>
  <autoFilter ref="N1:N103" xr:uid="{79571106-7247-4D96-A52D-85FF97E3F872}"/>
  <conditionalFormatting sqref="D2:D51">
    <cfRule type="duplicateValues" dxfId="1" priority="1"/>
  </conditionalFormatting>
  <conditionalFormatting sqref="D52">
    <cfRule type="duplicateValues" dxfId="0" priority="59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F122-64FE-4821-B4BF-2B53191F7BBF}">
  <dimension ref="A1:Y70"/>
  <sheetViews>
    <sheetView zoomScale="55" zoomScaleNormal="55" workbookViewId="0">
      <selection activeCell="A2" sqref="A2"/>
    </sheetView>
  </sheetViews>
  <sheetFormatPr defaultRowHeight="14.4" x14ac:dyDescent="0.3"/>
  <cols>
    <col min="3" max="3" width="27.6640625" customWidth="1"/>
    <col min="4" max="4" width="35.88671875" customWidth="1"/>
  </cols>
  <sheetData>
    <row r="1" spans="1:13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</row>
    <row r="2" spans="1:13" x14ac:dyDescent="0.3">
      <c r="A2" t="s">
        <v>219</v>
      </c>
      <c r="B2" t="s">
        <v>235</v>
      </c>
      <c r="C2" t="s">
        <v>154</v>
      </c>
      <c r="D2" t="s">
        <v>91</v>
      </c>
      <c r="E2">
        <v>0.36099999999999999</v>
      </c>
    </row>
    <row r="3" spans="1:13" x14ac:dyDescent="0.3">
      <c r="A3" t="s">
        <v>219</v>
      </c>
      <c r="B3" t="s">
        <v>235</v>
      </c>
      <c r="C3" t="s">
        <v>154</v>
      </c>
      <c r="D3" t="s">
        <v>90</v>
      </c>
      <c r="E3">
        <v>8.3000000000000004E-2</v>
      </c>
    </row>
    <row r="4" spans="1:13" x14ac:dyDescent="0.3">
      <c r="A4" t="s">
        <v>219</v>
      </c>
      <c r="B4" t="s">
        <v>235</v>
      </c>
      <c r="C4" t="s">
        <v>154</v>
      </c>
      <c r="D4" t="s">
        <v>89</v>
      </c>
      <c r="E4">
        <v>5.7000000000000002E-2</v>
      </c>
      <c r="M4" s="74" t="s">
        <v>83</v>
      </c>
    </row>
    <row r="5" spans="1:13" x14ac:dyDescent="0.3">
      <c r="A5" t="s">
        <v>219</v>
      </c>
      <c r="B5" t="s">
        <v>235</v>
      </c>
      <c r="C5" t="s">
        <v>154</v>
      </c>
      <c r="D5" t="s">
        <v>88</v>
      </c>
      <c r="E5">
        <v>0.158</v>
      </c>
      <c r="M5" t="s">
        <v>57</v>
      </c>
    </row>
    <row r="6" spans="1:13" x14ac:dyDescent="0.3">
      <c r="A6" t="s">
        <v>219</v>
      </c>
      <c r="B6" t="s">
        <v>235</v>
      </c>
      <c r="C6" t="s">
        <v>154</v>
      </c>
      <c r="D6" t="s">
        <v>81</v>
      </c>
      <c r="E6">
        <v>9.9000000000000005E-2</v>
      </c>
      <c r="M6" t="s">
        <v>58</v>
      </c>
    </row>
    <row r="7" spans="1:13" x14ac:dyDescent="0.3">
      <c r="A7" t="s">
        <v>219</v>
      </c>
      <c r="B7" t="s">
        <v>235</v>
      </c>
      <c r="C7" t="s">
        <v>154</v>
      </c>
      <c r="D7" t="s">
        <v>82</v>
      </c>
      <c r="E7">
        <v>0</v>
      </c>
      <c r="M7" t="s">
        <v>59</v>
      </c>
    </row>
    <row r="8" spans="1:13" x14ac:dyDescent="0.3">
      <c r="A8" t="s">
        <v>219</v>
      </c>
      <c r="B8" t="s">
        <v>235</v>
      </c>
      <c r="C8" t="s">
        <v>154</v>
      </c>
      <c r="D8" t="s">
        <v>80</v>
      </c>
      <c r="E8">
        <v>0.159</v>
      </c>
      <c r="M8" t="s">
        <v>60</v>
      </c>
    </row>
    <row r="9" spans="1:13" x14ac:dyDescent="0.3">
      <c r="A9" t="s">
        <v>219</v>
      </c>
      <c r="B9" t="s">
        <v>235</v>
      </c>
      <c r="C9" t="s">
        <v>154</v>
      </c>
      <c r="D9" t="s">
        <v>38</v>
      </c>
      <c r="E9">
        <v>0.57599999999999996</v>
      </c>
      <c r="M9" t="s">
        <v>61</v>
      </c>
    </row>
    <row r="10" spans="1:13" x14ac:dyDescent="0.3">
      <c r="A10" t="s">
        <v>219</v>
      </c>
      <c r="B10" t="s">
        <v>235</v>
      </c>
      <c r="C10" t="s">
        <v>154</v>
      </c>
      <c r="D10" t="s">
        <v>48</v>
      </c>
      <c r="E10">
        <v>0.122</v>
      </c>
      <c r="M10" t="s">
        <v>63</v>
      </c>
    </row>
    <row r="11" spans="1:13" x14ac:dyDescent="0.3">
      <c r="A11" t="s">
        <v>219</v>
      </c>
      <c r="B11" t="s">
        <v>235</v>
      </c>
      <c r="C11" t="s">
        <v>222</v>
      </c>
      <c r="D11" t="s">
        <v>91</v>
      </c>
      <c r="E11">
        <v>0.13800000000000001</v>
      </c>
      <c r="M11" t="s">
        <v>62</v>
      </c>
    </row>
    <row r="12" spans="1:13" x14ac:dyDescent="0.3">
      <c r="A12" t="s">
        <v>219</v>
      </c>
      <c r="B12" t="s">
        <v>235</v>
      </c>
      <c r="C12" t="s">
        <v>222</v>
      </c>
      <c r="D12" t="s">
        <v>90</v>
      </c>
      <c r="E12">
        <v>9.6000000000000002E-2</v>
      </c>
      <c r="M12" t="s">
        <v>38</v>
      </c>
    </row>
    <row r="13" spans="1:13" x14ac:dyDescent="0.3">
      <c r="A13" t="s">
        <v>219</v>
      </c>
      <c r="B13" t="s">
        <v>235</v>
      </c>
      <c r="C13" t="s">
        <v>222</v>
      </c>
      <c r="D13" t="s">
        <v>89</v>
      </c>
      <c r="E13">
        <v>0.14399999999999999</v>
      </c>
      <c r="M13" t="s">
        <v>65</v>
      </c>
    </row>
    <row r="14" spans="1:13" x14ac:dyDescent="0.3">
      <c r="A14" t="s">
        <v>219</v>
      </c>
      <c r="B14" t="s">
        <v>235</v>
      </c>
      <c r="C14" t="s">
        <v>222</v>
      </c>
      <c r="D14" t="s">
        <v>88</v>
      </c>
      <c r="E14">
        <v>0.16300000000000001</v>
      </c>
    </row>
    <row r="15" spans="1:13" x14ac:dyDescent="0.3">
      <c r="A15" t="s">
        <v>219</v>
      </c>
      <c r="B15" t="s">
        <v>235</v>
      </c>
      <c r="C15" t="s">
        <v>222</v>
      </c>
      <c r="D15" t="s">
        <v>81</v>
      </c>
      <c r="E15">
        <v>0.377</v>
      </c>
    </row>
    <row r="16" spans="1:13" x14ac:dyDescent="0.3">
      <c r="A16" t="s">
        <v>219</v>
      </c>
      <c r="B16" t="s">
        <v>235</v>
      </c>
      <c r="C16" t="s">
        <v>222</v>
      </c>
      <c r="D16" t="s">
        <v>82</v>
      </c>
      <c r="E16">
        <v>0.80300000000000005</v>
      </c>
    </row>
    <row r="17" spans="1:25" x14ac:dyDescent="0.3">
      <c r="A17" t="s">
        <v>219</v>
      </c>
      <c r="B17" t="s">
        <v>235</v>
      </c>
      <c r="C17" t="s">
        <v>222</v>
      </c>
      <c r="D17" t="s">
        <v>80</v>
      </c>
      <c r="E17">
        <v>0</v>
      </c>
    </row>
    <row r="18" spans="1:25" ht="15.6" x14ac:dyDescent="0.3">
      <c r="A18" t="s">
        <v>219</v>
      </c>
      <c r="B18" t="s">
        <v>235</v>
      </c>
      <c r="C18" t="s">
        <v>222</v>
      </c>
      <c r="D18" t="s">
        <v>38</v>
      </c>
      <c r="E18">
        <v>5.1999999999999998E-2</v>
      </c>
      <c r="H18" s="62"/>
      <c r="L18" s="59"/>
      <c r="M18" s="59"/>
      <c r="N18" s="59"/>
      <c r="O18" s="59"/>
      <c r="Q18" s="59"/>
      <c r="R18" s="59"/>
      <c r="S18" s="59"/>
      <c r="T18" s="59"/>
      <c r="V18" s="59"/>
      <c r="W18" s="59"/>
      <c r="X18" s="59"/>
      <c r="Y18" s="59"/>
    </row>
    <row r="19" spans="1:25" ht="15.6" x14ac:dyDescent="0.3">
      <c r="A19" t="s">
        <v>219</v>
      </c>
      <c r="B19" t="s">
        <v>235</v>
      </c>
      <c r="C19" t="s">
        <v>222</v>
      </c>
      <c r="D19" t="s">
        <v>48</v>
      </c>
      <c r="E19">
        <v>3.5000000000000003E-2</v>
      </c>
      <c r="H19" s="65"/>
    </row>
    <row r="20" spans="1:25" ht="15.6" x14ac:dyDescent="0.3">
      <c r="A20" t="s">
        <v>219</v>
      </c>
      <c r="B20" t="s">
        <v>235</v>
      </c>
      <c r="C20" t="s">
        <v>73</v>
      </c>
      <c r="D20" t="s">
        <v>91</v>
      </c>
      <c r="E20">
        <v>4.3999999999999997E-2</v>
      </c>
      <c r="H20" s="65"/>
    </row>
    <row r="21" spans="1:25" ht="15.6" x14ac:dyDescent="0.3">
      <c r="A21" t="s">
        <v>219</v>
      </c>
      <c r="B21" t="s">
        <v>235</v>
      </c>
      <c r="C21" t="s">
        <v>73</v>
      </c>
      <c r="D21" t="s">
        <v>90</v>
      </c>
      <c r="E21">
        <v>0.221</v>
      </c>
      <c r="H21" s="64"/>
    </row>
    <row r="22" spans="1:25" ht="15.6" x14ac:dyDescent="0.3">
      <c r="A22" t="s">
        <v>219</v>
      </c>
      <c r="B22" t="s">
        <v>235</v>
      </c>
      <c r="C22" t="s">
        <v>73</v>
      </c>
      <c r="D22" t="s">
        <v>89</v>
      </c>
      <c r="E22">
        <v>0.127</v>
      </c>
      <c r="H22" s="65"/>
    </row>
    <row r="23" spans="1:25" ht="15.6" x14ac:dyDescent="0.3">
      <c r="A23" t="s">
        <v>219</v>
      </c>
      <c r="B23" t="s">
        <v>235</v>
      </c>
      <c r="C23" t="s">
        <v>73</v>
      </c>
      <c r="D23" t="s">
        <v>88</v>
      </c>
      <c r="E23">
        <v>0.16200000000000001</v>
      </c>
      <c r="H23" s="65"/>
    </row>
    <row r="24" spans="1:25" ht="15.6" x14ac:dyDescent="0.3">
      <c r="A24" t="s">
        <v>219</v>
      </c>
      <c r="B24" t="s">
        <v>235</v>
      </c>
      <c r="C24" t="s">
        <v>73</v>
      </c>
      <c r="D24" t="s">
        <v>81</v>
      </c>
      <c r="E24">
        <v>0.51100000000000001</v>
      </c>
      <c r="H24" s="62"/>
    </row>
    <row r="25" spans="1:25" ht="15.6" x14ac:dyDescent="0.3">
      <c r="A25" t="s">
        <v>219</v>
      </c>
      <c r="B25" t="s">
        <v>235</v>
      </c>
      <c r="C25" t="s">
        <v>73</v>
      </c>
      <c r="D25" t="s">
        <v>82</v>
      </c>
      <c r="E25">
        <v>0</v>
      </c>
      <c r="H25" s="63"/>
    </row>
    <row r="26" spans="1:25" ht="15.6" x14ac:dyDescent="0.3">
      <c r="A26" t="s">
        <v>219</v>
      </c>
      <c r="B26" t="s">
        <v>235</v>
      </c>
      <c r="C26" t="s">
        <v>73</v>
      </c>
      <c r="D26" t="s">
        <v>80</v>
      </c>
      <c r="E26">
        <v>1</v>
      </c>
      <c r="H26" s="65"/>
    </row>
    <row r="27" spans="1:25" ht="15.6" x14ac:dyDescent="0.3">
      <c r="A27" t="s">
        <v>219</v>
      </c>
      <c r="B27" t="s">
        <v>235</v>
      </c>
      <c r="C27" t="s">
        <v>73</v>
      </c>
      <c r="D27" t="s">
        <v>38</v>
      </c>
      <c r="E27">
        <v>5.0999999999999997E-2</v>
      </c>
      <c r="H27" s="62"/>
    </row>
    <row r="28" spans="1:25" x14ac:dyDescent="0.3">
      <c r="A28" t="s">
        <v>219</v>
      </c>
      <c r="B28" t="s">
        <v>235</v>
      </c>
      <c r="C28" t="s">
        <v>73</v>
      </c>
      <c r="D28" t="s">
        <v>48</v>
      </c>
      <c r="E28">
        <v>7.8E-2</v>
      </c>
    </row>
    <row r="29" spans="1:25" x14ac:dyDescent="0.3">
      <c r="A29" t="s">
        <v>219</v>
      </c>
      <c r="B29" t="s">
        <v>228</v>
      </c>
      <c r="C29" t="s">
        <v>218</v>
      </c>
      <c r="D29" t="s">
        <v>91</v>
      </c>
      <c r="E29">
        <v>0.32400000000000001</v>
      </c>
    </row>
    <row r="30" spans="1:25" x14ac:dyDescent="0.3">
      <c r="A30" t="s">
        <v>219</v>
      </c>
      <c r="B30" t="s">
        <v>228</v>
      </c>
      <c r="C30" t="s">
        <v>218</v>
      </c>
      <c r="D30" t="s">
        <v>90</v>
      </c>
      <c r="E30">
        <v>0.11899999999999999</v>
      </c>
    </row>
    <row r="31" spans="1:25" ht="15.6" x14ac:dyDescent="0.3">
      <c r="A31" t="s">
        <v>219</v>
      </c>
      <c r="B31" t="s">
        <v>228</v>
      </c>
      <c r="C31" t="s">
        <v>218</v>
      </c>
      <c r="D31" t="s">
        <v>89</v>
      </c>
      <c r="E31">
        <v>0.56899999999999995</v>
      </c>
      <c r="G31" s="62"/>
      <c r="K31" s="59"/>
      <c r="L31" s="59"/>
      <c r="M31" s="59"/>
      <c r="N31" s="59"/>
      <c r="P31" s="59"/>
      <c r="Q31" s="59"/>
      <c r="R31" s="59"/>
      <c r="S31" s="59"/>
      <c r="U31" s="59"/>
      <c r="V31" s="59"/>
      <c r="W31" s="59"/>
      <c r="X31" s="59"/>
    </row>
    <row r="32" spans="1:25" ht="15.6" x14ac:dyDescent="0.3">
      <c r="A32" t="s">
        <v>219</v>
      </c>
      <c r="B32" t="s">
        <v>228</v>
      </c>
      <c r="C32" t="s">
        <v>218</v>
      </c>
      <c r="D32" t="s">
        <v>88</v>
      </c>
      <c r="E32">
        <v>0.9</v>
      </c>
      <c r="G32" s="65"/>
    </row>
    <row r="33" spans="1:7" ht="15.6" x14ac:dyDescent="0.3">
      <c r="A33" t="s">
        <v>219</v>
      </c>
      <c r="B33" t="s">
        <v>228</v>
      </c>
      <c r="C33" t="s">
        <v>218</v>
      </c>
      <c r="D33" t="s">
        <v>81</v>
      </c>
      <c r="E33">
        <v>0.30199999999999999</v>
      </c>
      <c r="G33" s="65"/>
    </row>
    <row r="34" spans="1:7" ht="15.6" x14ac:dyDescent="0.3">
      <c r="A34" t="s">
        <v>219</v>
      </c>
      <c r="B34" t="s">
        <v>228</v>
      </c>
      <c r="C34" t="s">
        <v>218</v>
      </c>
      <c r="D34" t="s">
        <v>82</v>
      </c>
      <c r="E34">
        <v>0.64900000000000002</v>
      </c>
      <c r="G34" s="65"/>
    </row>
    <row r="35" spans="1:7" x14ac:dyDescent="0.3">
      <c r="A35" t="s">
        <v>219</v>
      </c>
      <c r="B35" t="s">
        <v>228</v>
      </c>
      <c r="C35" t="s">
        <v>218</v>
      </c>
      <c r="D35" t="s">
        <v>80</v>
      </c>
      <c r="E35">
        <v>0</v>
      </c>
    </row>
    <row r="36" spans="1:7" x14ac:dyDescent="0.3">
      <c r="A36" t="s">
        <v>219</v>
      </c>
      <c r="B36" t="s">
        <v>228</v>
      </c>
      <c r="C36" t="s">
        <v>222</v>
      </c>
      <c r="D36" t="s">
        <v>91</v>
      </c>
      <c r="E36">
        <v>0.14299999999999999</v>
      </c>
    </row>
    <row r="37" spans="1:7" x14ac:dyDescent="0.3">
      <c r="A37" t="s">
        <v>219</v>
      </c>
      <c r="B37" t="s">
        <v>228</v>
      </c>
      <c r="C37" t="s">
        <v>222</v>
      </c>
      <c r="D37" t="s">
        <v>90</v>
      </c>
      <c r="E37">
        <v>0.115</v>
      </c>
    </row>
    <row r="38" spans="1:7" x14ac:dyDescent="0.3">
      <c r="A38" t="s">
        <v>219</v>
      </c>
      <c r="B38" t="s">
        <v>228</v>
      </c>
      <c r="C38" t="s">
        <v>222</v>
      </c>
      <c r="D38" t="s">
        <v>89</v>
      </c>
      <c r="E38">
        <v>6.0999999999999999E-2</v>
      </c>
    </row>
    <row r="39" spans="1:7" x14ac:dyDescent="0.3">
      <c r="A39" t="s">
        <v>219</v>
      </c>
      <c r="B39" t="s">
        <v>228</v>
      </c>
      <c r="C39" t="s">
        <v>222</v>
      </c>
      <c r="D39" t="s">
        <v>88</v>
      </c>
      <c r="E39">
        <v>0.17299999999999999</v>
      </c>
      <c r="G39" s="66"/>
    </row>
    <row r="40" spans="1:7" x14ac:dyDescent="0.3">
      <c r="A40" t="s">
        <v>219</v>
      </c>
      <c r="B40" t="s">
        <v>228</v>
      </c>
      <c r="C40" t="s">
        <v>222</v>
      </c>
      <c r="D40" t="s">
        <v>81</v>
      </c>
      <c r="E40">
        <v>0.36199999999999999</v>
      </c>
    </row>
    <row r="41" spans="1:7" x14ac:dyDescent="0.3">
      <c r="A41" t="s">
        <v>219</v>
      </c>
      <c r="B41" t="s">
        <v>228</v>
      </c>
      <c r="C41" t="s">
        <v>222</v>
      </c>
      <c r="D41" t="s">
        <v>82</v>
      </c>
      <c r="E41">
        <v>0.78300000000000003</v>
      </c>
    </row>
    <row r="42" spans="1:7" x14ac:dyDescent="0.3">
      <c r="A42" t="s">
        <v>219</v>
      </c>
      <c r="B42" t="s">
        <v>228</v>
      </c>
      <c r="C42" t="s">
        <v>222</v>
      </c>
      <c r="D42" t="s">
        <v>80</v>
      </c>
      <c r="E42">
        <v>0</v>
      </c>
    </row>
    <row r="43" spans="1:7" x14ac:dyDescent="0.3">
      <c r="A43" t="s">
        <v>219</v>
      </c>
      <c r="B43" t="s">
        <v>228</v>
      </c>
      <c r="C43" t="s">
        <v>73</v>
      </c>
      <c r="D43" t="s">
        <v>91</v>
      </c>
      <c r="E43">
        <v>9.1999999999999998E-2</v>
      </c>
    </row>
    <row r="44" spans="1:7" x14ac:dyDescent="0.3">
      <c r="A44" t="s">
        <v>219</v>
      </c>
      <c r="B44" t="s">
        <v>228</v>
      </c>
      <c r="C44" t="s">
        <v>73</v>
      </c>
      <c r="D44" t="s">
        <v>90</v>
      </c>
      <c r="E44">
        <v>0.23200000000000001</v>
      </c>
    </row>
    <row r="45" spans="1:7" x14ac:dyDescent="0.3">
      <c r="A45" t="s">
        <v>219</v>
      </c>
      <c r="B45" t="s">
        <v>228</v>
      </c>
      <c r="C45" t="s">
        <v>73</v>
      </c>
      <c r="D45" t="s">
        <v>89</v>
      </c>
      <c r="E45">
        <v>0.16800000000000001</v>
      </c>
    </row>
    <row r="46" spans="1:7" x14ac:dyDescent="0.3">
      <c r="A46" t="s">
        <v>219</v>
      </c>
      <c r="B46" t="s">
        <v>228</v>
      </c>
      <c r="C46" t="s">
        <v>73</v>
      </c>
      <c r="D46" t="s">
        <v>88</v>
      </c>
      <c r="E46">
        <v>0.32400000000000001</v>
      </c>
    </row>
    <row r="47" spans="1:7" x14ac:dyDescent="0.3">
      <c r="A47" t="s">
        <v>219</v>
      </c>
      <c r="B47" t="s">
        <v>228</v>
      </c>
      <c r="C47" t="s">
        <v>73</v>
      </c>
      <c r="D47" t="s">
        <v>81</v>
      </c>
      <c r="E47">
        <v>0.49199999999999999</v>
      </c>
    </row>
    <row r="48" spans="1:7" x14ac:dyDescent="0.3">
      <c r="A48" t="s">
        <v>219</v>
      </c>
      <c r="B48" t="s">
        <v>228</v>
      </c>
      <c r="C48" t="s">
        <v>73</v>
      </c>
      <c r="D48" t="s">
        <v>82</v>
      </c>
      <c r="E48">
        <v>0</v>
      </c>
    </row>
    <row r="49" spans="1:24" x14ac:dyDescent="0.3">
      <c r="A49" t="s">
        <v>219</v>
      </c>
      <c r="B49" t="s">
        <v>228</v>
      </c>
      <c r="C49" t="s">
        <v>73</v>
      </c>
      <c r="D49" t="s">
        <v>80</v>
      </c>
      <c r="E49">
        <v>0.99199999999999999</v>
      </c>
    </row>
    <row r="52" spans="1:24" ht="15.6" x14ac:dyDescent="0.3">
      <c r="G52" s="62"/>
      <c r="K52" s="59"/>
      <c r="L52" s="59"/>
      <c r="M52" s="59"/>
      <c r="N52" s="59"/>
      <c r="P52" s="59"/>
      <c r="Q52" s="59"/>
      <c r="R52" s="59"/>
      <c r="S52" s="59"/>
      <c r="U52" s="59"/>
      <c r="V52" s="59"/>
      <c r="W52" s="59"/>
      <c r="X52" s="59"/>
    </row>
    <row r="53" spans="1:24" ht="15.6" x14ac:dyDescent="0.3">
      <c r="G53" s="65"/>
    </row>
    <row r="54" spans="1:24" ht="15.6" x14ac:dyDescent="0.3">
      <c r="G54" s="65"/>
    </row>
    <row r="55" spans="1:24" ht="15.6" x14ac:dyDescent="0.3">
      <c r="G55" s="64"/>
    </row>
    <row r="56" spans="1:24" ht="15.6" x14ac:dyDescent="0.3">
      <c r="G56" s="65"/>
    </row>
    <row r="57" spans="1:24" ht="15.6" x14ac:dyDescent="0.3">
      <c r="G57" s="65"/>
    </row>
    <row r="58" spans="1:24" ht="15.6" x14ac:dyDescent="0.3">
      <c r="G58" s="62"/>
    </row>
    <row r="59" spans="1:24" ht="15.6" x14ac:dyDescent="0.3">
      <c r="G59" s="63"/>
    </row>
    <row r="60" spans="1:24" ht="15.6" x14ac:dyDescent="0.3">
      <c r="G60" s="65"/>
    </row>
    <row r="61" spans="1:24" ht="15.6" x14ac:dyDescent="0.3">
      <c r="G61" s="62"/>
    </row>
    <row r="64" spans="1:24" ht="15.6" x14ac:dyDescent="0.3">
      <c r="G64" s="62"/>
    </row>
    <row r="67" spans="7:7" ht="15.6" x14ac:dyDescent="0.3">
      <c r="G67" s="62"/>
    </row>
    <row r="70" spans="7:7" ht="15.6" x14ac:dyDescent="0.3">
      <c r="G70" s="62"/>
    </row>
  </sheetData>
  <autoFilter ref="A1:E91" xr:uid="{55E56BC6-10DE-4D9F-A258-E1F71527F8BB}"/>
  <conditionalFormatting sqref="G31:G34">
    <cfRule type="containsBlanks" priority="12" stopIfTrue="1">
      <formula>LEN(TRIM(G31))=0</formula>
    </cfRule>
  </conditionalFormatting>
  <conditionalFormatting sqref="G39">
    <cfRule type="containsBlanks" priority="10" stopIfTrue="1">
      <formula>LEN(TRIM(G39))=0</formula>
    </cfRule>
  </conditionalFormatting>
  <conditionalFormatting sqref="G52:G61">
    <cfRule type="containsBlanks" priority="8" stopIfTrue="1">
      <formula>LEN(TRIM(G52))=0</formula>
    </cfRule>
  </conditionalFormatting>
  <conditionalFormatting sqref="G64">
    <cfRule type="containsBlanks" priority="9" stopIfTrue="1">
      <formula>LEN(TRIM(G64))=0</formula>
    </cfRule>
  </conditionalFormatting>
  <conditionalFormatting sqref="G67">
    <cfRule type="containsBlanks" priority="7" stopIfTrue="1">
      <formula>LEN(TRIM(G67))=0</formula>
    </cfRule>
  </conditionalFormatting>
  <conditionalFormatting sqref="G70">
    <cfRule type="containsBlanks" priority="6" stopIfTrue="1">
      <formula>LEN(TRIM(G70))=0</formula>
    </cfRule>
  </conditionalFormatting>
  <conditionalFormatting sqref="H18:H27">
    <cfRule type="containsBlanks" priority="11" stopIfTrue="1">
      <formula>LEN(TRIM(H18))=0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4A6B-4F62-45BD-8A6F-2921892880F5}">
  <dimension ref="A1:N10"/>
  <sheetViews>
    <sheetView workbookViewId="0">
      <selection activeCell="U31" sqref="U31"/>
    </sheetView>
  </sheetViews>
  <sheetFormatPr defaultRowHeight="14.4" x14ac:dyDescent="0.3"/>
  <cols>
    <col min="1" max="1" width="32.77734375" customWidth="1"/>
  </cols>
  <sheetData>
    <row r="1" spans="1:14" x14ac:dyDescent="0.3">
      <c r="A1" t="s">
        <v>84</v>
      </c>
      <c r="B1" t="s">
        <v>85</v>
      </c>
      <c r="C1" t="s">
        <v>86</v>
      </c>
      <c r="D1" t="s">
        <v>87</v>
      </c>
    </row>
    <row r="2" spans="1:14" x14ac:dyDescent="0.3">
      <c r="A2" t="s">
        <v>226</v>
      </c>
      <c r="B2" t="s">
        <v>222</v>
      </c>
      <c r="C2" s="67">
        <v>0.64829000000000003</v>
      </c>
      <c r="D2" s="67">
        <v>0.66630999999999996</v>
      </c>
    </row>
    <row r="3" spans="1:14" x14ac:dyDescent="0.3">
      <c r="A3" t="s">
        <v>226</v>
      </c>
      <c r="B3" t="s">
        <v>154</v>
      </c>
      <c r="C3" s="67">
        <v>6.1699999999999998E-2</v>
      </c>
      <c r="D3" s="67">
        <v>3.5869999999999999E-2</v>
      </c>
    </row>
    <row r="4" spans="1:14" x14ac:dyDescent="0.3">
      <c r="A4" t="s">
        <v>226</v>
      </c>
      <c r="B4" t="s">
        <v>73</v>
      </c>
      <c r="C4">
        <v>0.28999999999999998</v>
      </c>
      <c r="D4">
        <v>0.29781999999999997</v>
      </c>
    </row>
    <row r="5" spans="1:14" x14ac:dyDescent="0.3">
      <c r="A5" t="s">
        <v>227</v>
      </c>
      <c r="B5" t="s">
        <v>222</v>
      </c>
      <c r="C5">
        <v>0.58974000000000004</v>
      </c>
      <c r="D5">
        <v>0.63575000000000004</v>
      </c>
    </row>
    <row r="6" spans="1:14" x14ac:dyDescent="0.3">
      <c r="A6" t="s">
        <v>227</v>
      </c>
      <c r="B6" t="s">
        <v>218</v>
      </c>
      <c r="C6">
        <v>0.11838</v>
      </c>
      <c r="D6">
        <v>7.4840000000000004E-2</v>
      </c>
    </row>
    <row r="7" spans="1:14" x14ac:dyDescent="0.3">
      <c r="A7" t="s">
        <v>227</v>
      </c>
      <c r="B7" t="s">
        <v>73</v>
      </c>
      <c r="C7">
        <v>0.29187999999999997</v>
      </c>
      <c r="D7">
        <v>0.28941</v>
      </c>
    </row>
    <row r="10" spans="1:14" x14ac:dyDescent="0.3">
      <c r="I10" s="59"/>
      <c r="J10" s="59"/>
      <c r="K10" s="59"/>
      <c r="L10" s="59"/>
      <c r="N10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164A9-056A-4176-8009-418EB521D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RR_W1.1_CAWI</vt:lpstr>
      <vt:lpstr>RR_W1.1_PAPI</vt:lpstr>
      <vt:lpstr>RR_W1.2_PAPI</vt:lpstr>
      <vt:lpstr>GlobalProp</vt:lpstr>
      <vt:lpstr>Omegas</vt:lpstr>
      <vt:lpstr>MultinomSocDem</vt:lpstr>
      <vt:lpstr>RR_W1.2_CAWI</vt:lpstr>
      <vt:lpstr>RR_W2_CAWI</vt:lpstr>
      <vt:lpstr>RR_W2_PAPI</vt:lpstr>
      <vt:lpstr>RR_W1.1_SENSAN_CAWI</vt:lpstr>
      <vt:lpstr>RR_W1.1_SENSAN_PAPI</vt:lpstr>
      <vt:lpstr>MultinomSocDem_SA</vt:lpstr>
      <vt:lpstr>Omegas_SA</vt:lpstr>
      <vt:lpstr>GlobalProp_SA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anonymized</dc:creator>
  <cp:lastModifiedBy>anonymized</cp:lastModifiedBy>
  <dcterms:created xsi:type="dcterms:W3CDTF">2026-04-02T22:56:58Z</dcterms:created>
  <dcterms:modified xsi:type="dcterms:W3CDTF">2026-04-30T06:30:22Z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2026-04-02T22:57:26Z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f613d04c-0cbb-474b-a05a-f6e2413d07fb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